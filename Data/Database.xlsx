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nie\Documents\Projects\Dempark\Review\Scripts\Shared\dFC-PD\Data\"/>
    </mc:Choice>
  </mc:AlternateContent>
  <xr:revisionPtr revIDLastSave="0" documentId="13_ncr:1_{A0448DC5-3088-4EC8-96A4-532D9F145AE7}" xr6:coauthVersionLast="36" xr6:coauthVersionMax="36" xr10:uidLastSave="{00000000-0000-0000-0000-000000000000}"/>
  <bookViews>
    <workbookView xWindow="-3825" yWindow="-18120" windowWidth="18225" windowHeight="17520" activeTab="4" xr2:uid="{F9DFDEC1-D83E-4C26-9F64-3D0DF16976B8}"/>
  </bookViews>
  <sheets>
    <sheet name="Query_strings" sheetId="1" r:id="rId1"/>
    <sheet name="Screening" sheetId="2" r:id="rId2"/>
    <sheet name="Extracted_data" sheetId="3" r:id="rId3"/>
    <sheet name="Refined_data_DK" sheetId="5" r:id="rId4"/>
    <sheet name="Refined_data_DC" sheetId="7" r:id="rId5"/>
    <sheet name="Coded_information" sheetId="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M61" i="7" l="1"/>
  <c r="AM60" i="7"/>
  <c r="AM59" i="7"/>
  <c r="AM58" i="7"/>
  <c r="AM57" i="7"/>
  <c r="AM56" i="7"/>
  <c r="AM55" i="7"/>
  <c r="AM54" i="7"/>
  <c r="AM53" i="7"/>
  <c r="AM52" i="7"/>
  <c r="AM51" i="7"/>
  <c r="AM50" i="7"/>
  <c r="AM49" i="7"/>
  <c r="AM47" i="7"/>
  <c r="AM46" i="7"/>
  <c r="AM45" i="7"/>
  <c r="AM44" i="7"/>
  <c r="AM43" i="7"/>
  <c r="AM42" i="7"/>
  <c r="AM41" i="7"/>
  <c r="AM40" i="7"/>
  <c r="AM39" i="7"/>
  <c r="AM38" i="7"/>
  <c r="AM37" i="7"/>
  <c r="AM36" i="7"/>
  <c r="AM35" i="7"/>
  <c r="AM34" i="7"/>
  <c r="AM33" i="7"/>
  <c r="AM32" i="7"/>
  <c r="AM31" i="7"/>
  <c r="AM30" i="7"/>
  <c r="AM29" i="7"/>
  <c r="AM28" i="7"/>
  <c r="AM27" i="7"/>
  <c r="AM26" i="7"/>
  <c r="AM22" i="7"/>
  <c r="AM21" i="7"/>
  <c r="AM20" i="7"/>
  <c r="AM19" i="7"/>
  <c r="AM18" i="7"/>
  <c r="AM17" i="7"/>
  <c r="AM16" i="7"/>
  <c r="AM15" i="7"/>
  <c r="AM14" i="7"/>
  <c r="AM13" i="7"/>
  <c r="AM12" i="7"/>
  <c r="AM11" i="7"/>
  <c r="AM10" i="7"/>
  <c r="AM9" i="7"/>
  <c r="AM8" i="7"/>
  <c r="AM7" i="7"/>
  <c r="AM6" i="7"/>
  <c r="AM5" i="7"/>
  <c r="AM4" i="7"/>
  <c r="AM3" i="7"/>
  <c r="AM3" i="5" l="1"/>
  <c r="AM4" i="5"/>
  <c r="AM5" i="5"/>
  <c r="AM6" i="5"/>
  <c r="AM7" i="5"/>
  <c r="AM8" i="5"/>
  <c r="AM9" i="5"/>
  <c r="AM10" i="5"/>
  <c r="AM11" i="5"/>
  <c r="AM12" i="5"/>
  <c r="AM13" i="5"/>
  <c r="AM14" i="5"/>
  <c r="AM15" i="5"/>
  <c r="AM16" i="5"/>
  <c r="AM17" i="5"/>
  <c r="AM18" i="5"/>
  <c r="AM19" i="5"/>
  <c r="AM20" i="5"/>
  <c r="AM21" i="5"/>
  <c r="AM22" i="5"/>
  <c r="AM26" i="5"/>
  <c r="AM27" i="5"/>
  <c r="AM28" i="5"/>
  <c r="AM29" i="5"/>
  <c r="AM30" i="5"/>
  <c r="AM31" i="5"/>
  <c r="AM32" i="5"/>
  <c r="AM33" i="5"/>
  <c r="AM34" i="5"/>
  <c r="AM35" i="5"/>
  <c r="AM36" i="5"/>
  <c r="AM37" i="5"/>
  <c r="AM38" i="5"/>
  <c r="AM39" i="5"/>
  <c r="AM40" i="5"/>
  <c r="AM41" i="5"/>
  <c r="AM42" i="5"/>
  <c r="AM43" i="5"/>
  <c r="AM44" i="5"/>
  <c r="AM45" i="5"/>
  <c r="AM46" i="5"/>
  <c r="AM47" i="5"/>
  <c r="AM49" i="5"/>
  <c r="AM50" i="5"/>
  <c r="AM51" i="5"/>
  <c r="AM52" i="5"/>
  <c r="AM53" i="5"/>
  <c r="AM54" i="5"/>
  <c r="AM55" i="5"/>
  <c r="AM56" i="5"/>
  <c r="AM57" i="5"/>
  <c r="AM58" i="5"/>
  <c r="AM59" i="5"/>
  <c r="AM60" i="5"/>
  <c r="AM61" i="5"/>
  <c r="AA68" i="3" l="1"/>
  <c r="AA67" i="3"/>
  <c r="AA66" i="3"/>
  <c r="AA65" i="3"/>
  <c r="AA64" i="3" l="1"/>
  <c r="AA61" i="3"/>
  <c r="AA59" i="3"/>
  <c r="AA57" i="3"/>
  <c r="AA55" i="3" l="1"/>
  <c r="AA49" i="3"/>
  <c r="AA46" i="3"/>
  <c r="AA45" i="3"/>
  <c r="AA43" i="3"/>
  <c r="AA42" i="3"/>
  <c r="AA40" i="3"/>
  <c r="AA38" i="3"/>
  <c r="AA36" i="3"/>
  <c r="AA34" i="3"/>
  <c r="AA32" i="3"/>
  <c r="AA30" i="3"/>
  <c r="AA29" i="3"/>
  <c r="AA28" i="3"/>
  <c r="AA26" i="3"/>
  <c r="AA19" i="3"/>
  <c r="AA21" i="3"/>
  <c r="AA8" i="3" l="1"/>
  <c r="AA17" i="3"/>
  <c r="AA15" i="3"/>
  <c r="AA13" i="3"/>
  <c r="AA12" i="3"/>
  <c r="AA10" i="3"/>
  <c r="AA7" i="3"/>
  <c r="AA4" i="3"/>
  <c r="AA5" i="3"/>
  <c r="AA6" i="3"/>
  <c r="AA3" i="3"/>
  <c r="C13" i="2" l="1"/>
</calcChain>
</file>

<file path=xl/sharedStrings.xml><?xml version="1.0" encoding="utf-8"?>
<sst xmlns="http://schemas.openxmlformats.org/spreadsheetml/2006/main" count="11708" uniqueCount="1675">
  <si>
    <t>Databases</t>
  </si>
  <si>
    <t>Query</t>
  </si>
  <si>
    <t>Filters</t>
  </si>
  <si>
    <t>Number of hits</t>
  </si>
  <si>
    <t>Time</t>
  </si>
  <si>
    <t>Pubmed</t>
  </si>
  <si>
    <t>(("Parkinson Disease"[Mesh] OR "Parkinson's Disease"[tiab] OR "Parkinson Disease"[tiab] OR "parkinsonism"[tiab] OR "PD"[tiab])) AND (("Magnetic Resonance Imaging"[Mesh] OR "fMRI"[tiab] OR "functional MRI"[tiab] OR "functional magnetic resonance imaging"[tiab] OR "resting state"[tiab] OR "resting-state"[tiab] OR "rs-fMRI"[tiab] OR "functional connectivity"[tiab] OR "brain connectivity"[tiab])) AND (("dynamic functional connectivity"[tiab] OR "dFC"[tiab] OR "time-varying connectivity"[tiab] OR "temporal dynamics"[tiab] OR "chronnectome"[tiab] OR "sliding window"[tiab] OR "dynamic states"[tiab] OR "brain states"[tiab] OR "DFNC"[tiab])) AND (english[Filter])</t>
  </si>
  <si>
    <t>Text Availability = Full text</t>
  </si>
  <si>
    <t>Web of science</t>
  </si>
  <si>
    <t>(TS=("Parkinson's disease" OR "Parkinson disease" OR parkinsonism OR PD)) AND (TS=(fMRI OR "functional MRI" OR "functional magnetic resonance imaging" OR "resting state" OR "resting-state" OR rs-fMRI OR "functional connectivity" OR "brain connectivity")) AND (TS=("dynamic functional connectivity" OR dFC OR "time-varying connectivity" OR "temporal dynamics" OR chronnectome OR "sliding window" OR "dynamic states" OR "brain states" OR DFNC))</t>
  </si>
  <si>
    <t>Open Access = All Open Access; Languages = English</t>
  </si>
  <si>
    <t>6/6/2025 1.40PM</t>
  </si>
  <si>
    <t>( TITLE-ABS-KEY ( "Parkinson&amp;apos;s disease" OR "Parkinson disease" OR parkinsonism OR "PD" ) ) AND ( TITLE-ABS-KEY ( fmri OR "functional mri" OR "functional magnetic resonance imaging" OR "resting state" OR "resting-state" OR "rs-fmri" OR "functional connectivity" OR "brain connectivity" ) ) AND ( TITLE-ABS-KEY ( "dynamic functional connectivity" OR dfc OR "time-varying connectivity" OR "temporal dynamics" OR chronnectome OR "sliding window" OR "dynamic states" OR "brain states" OR "DFNC" ) ) AND ( LIMIT-TO ( LANGUAGE , "English" ) ) AND ( LIMIT-TO ( OA , "all" ) )</t>
  </si>
  <si>
    <t>Scopus</t>
  </si>
  <si>
    <t>Steps</t>
  </si>
  <si>
    <t>WoS</t>
  </si>
  <si>
    <t>Extract from database</t>
  </si>
  <si>
    <t>Total</t>
  </si>
  <si>
    <t>After removing duplicate using DOI</t>
  </si>
  <si>
    <t>Abstract Screening</t>
  </si>
  <si>
    <t>Exclusion criteria</t>
  </si>
  <si>
    <t>Not Parkinson's Disease</t>
  </si>
  <si>
    <t>Code</t>
  </si>
  <si>
    <t>Number</t>
  </si>
  <si>
    <t>NotPD</t>
  </si>
  <si>
    <t>Not FMRI</t>
  </si>
  <si>
    <t>NotFMRI</t>
  </si>
  <si>
    <t>No abstract</t>
  </si>
  <si>
    <t>NA</t>
  </si>
  <si>
    <t>Not dFC</t>
  </si>
  <si>
    <t>NotDFC</t>
  </si>
  <si>
    <t>Review</t>
  </si>
  <si>
    <t>Rev</t>
  </si>
  <si>
    <t>also include animal study</t>
  </si>
  <si>
    <t>fMRI but resting</t>
  </si>
  <si>
    <t>Included</t>
  </si>
  <si>
    <t>2. Study Population</t>
  </si>
  <si>
    <t>3. Methods</t>
  </si>
  <si>
    <t>4. Group Differences</t>
  </si>
  <si>
    <t>5. Clinical Correlates</t>
  </si>
  <si>
    <t>7. Interventions</t>
  </si>
  <si>
    <t>8. Conclusions</t>
  </si>
  <si>
    <t>PD Sample (n)</t>
  </si>
  <si>
    <t>PD Age (Mean±SD)</t>
  </si>
  <si>
    <t>HC Sample (n)</t>
  </si>
  <si>
    <t>HC Age (Mean±SD)</t>
  </si>
  <si>
    <t>Data Source (Public/Private)</t>
  </si>
  <si>
    <t>fMRI Paradigm</t>
  </si>
  <si>
    <t>dFC Method</t>
  </si>
  <si>
    <t>dFC Measures (e.g., Dwell Time)</t>
  </si>
  <si>
    <t>Subtype Finding</t>
  </si>
  <si>
    <t>Intervention Finding</t>
  </si>
  <si>
    <t>Proposed Biomarker</t>
  </si>
  <si>
    <t>Stated Limitations</t>
  </si>
  <si>
    <t>label</t>
  </si>
  <si>
    <t>author</t>
  </si>
  <si>
    <t>year</t>
  </si>
  <si>
    <t>journal</t>
  </si>
  <si>
    <t>doi</t>
  </si>
  <si>
    <t>X36623929</t>
  </si>
  <si>
    <t>Chu C and Liu S and He N and Zeng Z and Wang J and Zhang Z and Zeljic K and van der Stelt O and Sun B and Yan F and Liu C and Li D and Zhang C</t>
  </si>
  <si>
    <t>Brain : a journal of neurology</t>
  </si>
  <si>
    <t>10.1093/brain/awad004</t>
  </si>
  <si>
    <t>X38958131</t>
  </si>
  <si>
    <t>Asendorf AL and Theis H and Tittgemeyer M and Timmermann L and Fink GR and Drzezga A and Eggers C and Ruppert-Junck MC and Pedrosa DJ and Hoenig MC and van Eimeren T</t>
  </si>
  <si>
    <t>Human brain mapping</t>
  </si>
  <si>
    <t>10.1002/hbm.26776</t>
  </si>
  <si>
    <t>X37363818</t>
  </si>
  <si>
    <t>Dirkx MF and Shine JM and Helmich RC</t>
  </si>
  <si>
    <t>Movement disorders : official journal of the Movement Disorder Society</t>
  </si>
  <si>
    <t>10.1002/mds.29506</t>
  </si>
  <si>
    <t>X39243826</t>
  </si>
  <si>
    <t>Shen B and Yao Q and Li W and Dong S and Zhang H and Zhao Y and Pan Y and Jiang X and Li D and Chen Y and Yan J and Zhang W and Zhu Q and Zhang D and Zhang L and Wu Y</t>
  </si>
  <si>
    <t>Neurobiology of disease</t>
  </si>
  <si>
    <t>10.1016/j.nbd.2024.106659</t>
  </si>
  <si>
    <t>X36229900</t>
  </si>
  <si>
    <t>Si Q and Gan C and Zhang H and Cao X and Sun H and Wang M and Wang L and Yuan Y and Zhang K</t>
  </si>
  <si>
    <t>CNS neuroscience &amp; therapeutics</t>
  </si>
  <si>
    <t>10.1111/cns.13994</t>
  </si>
  <si>
    <t>X35237143</t>
  </si>
  <si>
    <t>Xu J and Yu M and Wang H and Li Y and Li L and Ren J and Pan C and Liu W</t>
  </si>
  <si>
    <t>Frontiers in aging neuroscience</t>
  </si>
  <si>
    <t>10.3389/fnagi.2021.789785</t>
  </si>
  <si>
    <t>X.WOS.000451095400001</t>
  </si>
  <si>
    <t>Engels and Gwenda and Vlaar and Annemarie and McCoy and Bronagh and Scherder and Erik and Douw and Linda</t>
  </si>
  <si>
    <t>FRONTIERS IN AGING NEUROSCIENCE</t>
  </si>
  <si>
    <t>10.3389/fnagi.2018.00388</t>
  </si>
  <si>
    <t>X33852889</t>
  </si>
  <si>
    <t>Gan C and Ma K and Wang L and Si Q and Wang M and Yuan Y and Zhang K</t>
  </si>
  <si>
    <t>Brain research</t>
  </si>
  <si>
    <t>10.1016/j.brainres.2021.147477</t>
  </si>
  <si>
    <t>X.WOS.001128783900001</t>
  </si>
  <si>
    <t>Tan and Zhiyi and Zeng and Qiaoling and Hu and Xuehan and Di and Duoduo and Chen and Lele and Lin and Zhijian and Cheng and Guanxun</t>
  </si>
  <si>
    <t>10.3389/fnagi.2023.1282962</t>
  </si>
  <si>
    <t>X37008221</t>
  </si>
  <si>
    <t>Cao Y and Si Q and Tong R and Zhang X and Li C and Mao S</t>
  </si>
  <si>
    <t>Frontiers in neuroscience</t>
  </si>
  <si>
    <t>10.3389/fnins.2023.1116111</t>
  </si>
  <si>
    <t>X39996352</t>
  </si>
  <si>
    <t>Su D and Ji L and Cui Y and Gan L and Ma H and Liu Z and Duan Y and Stoessl AJ and Zhou J and Wu T and Liu Y and Feng T</t>
  </si>
  <si>
    <t>10.1002/mds.30146</t>
  </si>
  <si>
    <t>X34557085</t>
  </si>
  <si>
    <t>Zhu J and Zeng Q and Shi Q and Li J and Dong S and Lai C and Cheng G</t>
  </si>
  <si>
    <t>10.3389/fnagi.2021.710735</t>
  </si>
  <si>
    <t>X31280293</t>
  </si>
  <si>
    <t>Fiorenzato E and Strafella AP and Kim J and Schifano R and Weis L and Antonini A and Biundo R</t>
  </si>
  <si>
    <t>10.1093/brain/awz192</t>
  </si>
  <si>
    <t>X39523453</t>
  </si>
  <si>
    <t>Shen B and Yao Q and Zhang Y and Jiang Y and Wang Y and Jiang X and Zhao Y and Zhang H and Dong S and Li D and Chen Y and Pan Y and Yan J and Han F and Li S and Zhu Q and Zhang D and Zhang L and Wu YC</t>
  </si>
  <si>
    <t>10.1111/cns.70115</t>
  </si>
  <si>
    <t>X33404161</t>
  </si>
  <si>
    <t>Chen L and Bedard P and Hallett M and Horovitz SG</t>
  </si>
  <si>
    <t>10.1002/mds.28461</t>
  </si>
  <si>
    <t>X29053835</t>
  </si>
  <si>
    <t>Kim J and Criaud M and Cho SS and D&lt;c3&gt;&lt;ad&gt;ez-Cirarda M and Mihaescu A and Coakeley S and Ghadery C and Valli M and Jacobs MF and Houle S and Strafella AP</t>
  </si>
  <si>
    <t>10.1093/brain/awx233</t>
  </si>
  <si>
    <t>X.WOS.001054971800001</t>
  </si>
  <si>
    <t>Hensel and Lukas and Seger and Aline and Farrher and Ezequiel and Bonkhoff and Anna K. and Shah, N. Jon and Fink and Gereon R. and Grefkes and Christian and Sommerauer and Michael and Doppler and Christopher E. J.</t>
  </si>
  <si>
    <t>PARKINSONISM \&amp; RELATED DISORDERS</t>
  </si>
  <si>
    <t>10.1016/j.parkreldis.2023.105777</t>
  </si>
  <si>
    <t>X.WOS.000515444100015</t>
  </si>
  <si>
    <t>Navalpotro-Gomez and Irene and Kim and Jinhee and Paz-Alonso and Pedro M. and Delgado-Alvarado and Manuel and Quiroga-Varela and Ana and Jimenez-Urbieta and Haritz and Carreiras and Manuel and Strafella and Antonio P. and Cruz Rodriguez-Oroz and Maria</t>
  </si>
  <si>
    <t>10.1016/j.parkreldis.2019.12.009</t>
  </si>
  <si>
    <t>X40252310</t>
  </si>
  <si>
    <t>Kemp AS and Eubank AJ and Younus Y and Galvin JE and Prior FW and Larson-Prior LJ</t>
  </si>
  <si>
    <t>NeuroImage. Clinical</t>
  </si>
  <si>
    <t>10.1016/j.nicl.2025.103779</t>
  </si>
  <si>
    <t>X29527489</t>
  </si>
  <si>
    <t>D&lt;c3&gt;&lt;ad&gt;ez-Cirarda M and Strafella AP and Kim J and Pe&lt;c3&gt;&lt;b1&gt;a J and Ojeda N and Cabrera-Zubizarreta A and Ibarretxe-Bilbao N</t>
  </si>
  <si>
    <t>10.1016/j.nicl.2017.12.013</t>
  </si>
  <si>
    <t>X36075964</t>
  </si>
  <si>
    <t>Zarkali A and Luppi AI and Stamatakis EA and Reeves S and McColgan P and Leyland LA and Lees AJ and Weil RS</t>
  </si>
  <si>
    <t>Communications biology</t>
  </si>
  <si>
    <t>10.1038/s42003-022-03903-x</t>
  </si>
  <si>
    <t>X37597816</t>
  </si>
  <si>
    <t>Gan C and Ji M and Sun H and Cao X and Shi J and Wang L and Zhang H and Yuan Y and Zhang K</t>
  </si>
  <si>
    <t>10.1016/j.nbd.2023.106265</t>
  </si>
  <si>
    <t>X39401562</t>
  </si>
  <si>
    <t>Liu X and Zhang Y and Weng Y and Zhong M and Wang L and Gao Z and Hu H and Zhang Y and Huang B and Huang R</t>
  </si>
  <si>
    <t>Progress in neuro-psychopharmacology &amp; biological psychiatry</t>
  </si>
  <si>
    <t>10.1016/j.pnpbp.2024.111169</t>
  </si>
  <si>
    <t>X40041986</t>
  </si>
  <si>
    <t>Chen L and Wang J and Gao L and Sun J and Zhang D and Wu T</t>
  </si>
  <si>
    <t>Journal of neuroscience research</t>
  </si>
  <si>
    <t>10.1002/jnr.70029</t>
  </si>
  <si>
    <t>X.WOS.000710021600001</t>
  </si>
  <si>
    <t>Wu and Chengyuan and Matias and Caio and Foltynie and Thomas and Limousin and Patricia and Zrinzo and Ludvic and Akram and Harith</t>
  </si>
  <si>
    <t>FRONTIERS IN HUMAN NEUROSCIENCE</t>
  </si>
  <si>
    <t>10.3389/fnhum.2021.729677</t>
  </si>
  <si>
    <t>X40645507</t>
  </si>
  <si>
    <t>Pan Y and Qu H and Zhao Y and Qin Z and Liu J and Wang W</t>
  </si>
  <si>
    <t>Brain research bulletin</t>
  </si>
  <si>
    <t>10.1016/j.brainresbull.2025.111460</t>
  </si>
  <si>
    <t>X25252272</t>
  </si>
  <si>
    <t>Liu A and Chen X and McKeown MJ and Wang ZJ</t>
  </si>
  <si>
    <t>IEEE transactions on bio-medical engineering</t>
  </si>
  <si>
    <t>10.1109/TBME.2014.2359211</t>
  </si>
  <si>
    <t>X.WOS.000459153700001</t>
  </si>
  <si>
    <t>Zhu and Hong and Huang and Juan and Deng and Lifu and He and Naying and Cheng and Lin and Shu and Pin and Yan and Fuhua and Tong and Shanbao and Sun and Junfeng and Ling and Huawei</t>
  </si>
  <si>
    <t>FRONTIERS IN NEUROSCIENCE</t>
  </si>
  <si>
    <t>10.3389/fnins.2019.00080</t>
  </si>
  <si>
    <t>X.WOS.000744505300010</t>
  </si>
  <si>
    <t>Dhanis and Herberto and Blondiaux and Eva and Bolton and Thomas and Faivre and Nathan and Rognini and Giulio and Van De Ville and Dimitri and Blankea and Olaf</t>
  </si>
  <si>
    <t>NEUROIMAGE</t>
  </si>
  <si>
    <t>10.1016/j.neuroimage.2021.118862</t>
  </si>
  <si>
    <t>X38803227</t>
  </si>
  <si>
    <t>Yan S and Lu J and Zhu H and Tian T and Qin Y and Li Y and Zhu W</t>
  </si>
  <si>
    <t>10.1002/jnr.25357</t>
  </si>
  <si>
    <t>X32987535</t>
  </si>
  <si>
    <t>Zhang XB and Zhai DH and Yang Y and Zhang YL and Wang CL</t>
  </si>
  <si>
    <t>Mathematical biosciences and engineering : MBE</t>
  </si>
  <si>
    <t>10.3934/mbe.2020192</t>
  </si>
  <si>
    <t>X.WOS.000934086400003</t>
  </si>
  <si>
    <t>Yi and Guosheng and Wang and Yanbo and Wang and Liufang and Chu and Chunguang and Wang and Jiang and Shen and Xiao and Han and Xiaoxuan and Li and Zhen and Bai and Lipeng and Li and Zhuo and Zhang and Rui and Wang and Yanlin and Zhu and Xiaodong and Liu and Chen</t>
  </si>
  <si>
    <t>IEEE TRANSACTIONS ON NEURAL SYSTEMS AND REHABILITATION ENGINEERING</t>
  </si>
  <si>
    <t>10.1109/TNSRE.2023.3243035</t>
  </si>
  <si>
    <t>X.WOS.000287764100063</t>
  </si>
  <si>
    <t>Harrington and Deborah L. and Castillo and Gabriel N. and Greenberg and Paul A. and Song and David D. and Lessig and Stephanie and Lee and Roland R. and Rao and Stephen M.</t>
  </si>
  <si>
    <t>PLOS ONE</t>
  </si>
  <si>
    <t>10.1371/journal.pone.0017461</t>
  </si>
  <si>
    <t>X40543818</t>
  </si>
  <si>
    <t>Zhi Y and Chen K and You Y and Ji Y and Cheng W and Ji W and Shi G and Fang X and Wang F and Chen K and Zhang L</t>
  </si>
  <si>
    <t>10.1016/j.nbd.2025.107008</t>
  </si>
  <si>
    <t>X33383608</t>
  </si>
  <si>
    <t>Boon LI and Hepp DH and Douw L and van Geenen N and Broeders TAA and Geurts JJG and Berendse HW and Schoonheim MM</t>
  </si>
  <si>
    <t>10.1016/j.nicl.2020.102468</t>
  </si>
  <si>
    <t>X34721266</t>
  </si>
  <si>
    <t>Wang S and Cai H and Cao Z and Li C and Wu T and Xu F and Qian Y and Chen X and Yu Y</t>
  </si>
  <si>
    <t>Frontiers in neurology</t>
  </si>
  <si>
    <t>10.3389/fneur.2021.735999</t>
  </si>
  <si>
    <t>X40069154</t>
  </si>
  <si>
    <t>Lee B and Young CB and Cai W and Yuan R and Ryman S and Kim J and Yang L and Henderson VW and Poston KL and Menon V</t>
  </si>
  <si>
    <t>Nature communications</t>
  </si>
  <si>
    <t>10.1038/s41467-025-56660-w</t>
  </si>
  <si>
    <t>X.WOS.000746016700001</t>
  </si>
  <si>
    <t>Li and Yuting and Zhang and Lanlan and Wu and Yin and Zhang and Jian and Liu and Ke</t>
  </si>
  <si>
    <t>10.3389/fnhum.2021.711703</t>
  </si>
  <si>
    <t>X19036762</t>
  </si>
  <si>
    <t>Marklund P and Larsson A and Elgh E and Linder J and Riklund KA and Forsgren L and Nyberg L</t>
  </si>
  <si>
    <t>10.1093/brain/awn309</t>
  </si>
  <si>
    <t>X25014419</t>
  </si>
  <si>
    <t>Madhyastha TM and Askren MK and Boord P and Grabowski TJ</t>
  </si>
  <si>
    <t>Brain connectivity</t>
  </si>
  <si>
    <t>10.1089/brain.2014.0248</t>
  </si>
  <si>
    <t>X30175232</t>
  </si>
  <si>
    <t>Cordes D and Zhuang X and Kaleem M and Sreenivasan K and Yang Z and Mishra V and Banks SJ and Bluett B and Cummings JL</t>
  </si>
  <si>
    <t>Alzheimer's &amp; dementia (New York, N. Y.)</t>
  </si>
  <si>
    <t>10.1016/j.trci.2018.04.009</t>
  </si>
  <si>
    <t>X.WOS.000430364100007</t>
  </si>
  <si>
    <t>Zhuang and Xiaowei and Walsh and Ryan R. and Sreenivasan and Karthik and Yang and Zhengshi and Mishra and Virendra and Cordes and Dietmar</t>
  </si>
  <si>
    <t>10.1016/j.neuroimage.2018.01.019</t>
  </si>
  <si>
    <t>X18722512</t>
  </si>
  <si>
    <t>Palmer SJ and Eigenraam L and Hoque T and McCaig RG and Troiano A and McKeown MJ</t>
  </si>
  <si>
    <t>Neuroscience</t>
  </si>
  <si>
    <t>10.1016/j.neuroscience.2008.06.053</t>
  </si>
  <si>
    <t>Li2023.1</t>
  </si>
  <si>
    <t>Li and Zhibao and Chen and Wei and Zeng and Xiaoyu and Ni and Jun and Guo and Yuzhu and Zhang and Hua and Li and Yang and Ma and Yina and Meng and Fangang</t>
  </si>
  <si>
    <t>Innovation Medicine</t>
  </si>
  <si>
    <t>10.59717/j.xinn-med.2023.100027</t>
  </si>
  <si>
    <t>1. Publication info</t>
  </si>
  <si>
    <t>Resting state</t>
  </si>
  <si>
    <t>Code availability</t>
  </si>
  <si>
    <t>https://codeload.github.com/qiuqiangkong/matlabhmm/zip/refs/heads/master</t>
  </si>
  <si>
    <t>Hidden Markov Model</t>
  </si>
  <si>
    <t>number of states = 8</t>
  </si>
  <si>
    <t>dFC (State finding)</t>
  </si>
  <si>
    <t>States 1–3 represented increased, positive activations of the regions of interest, State 4 constituted the mean level of motor activation, corresponding to the mean level of BOLD signal activity in all regions of interest. By contrast, States 5–8 were linked to significantly decreased, negative activations of regions of interest</t>
  </si>
  <si>
    <t xml:space="preserve">by assessing five summary measures characterizing the dynamic behaviour of these internal states: (i) frequency of occurrence; (ii) state duration; (iii) fractional coverage; (iv) transition probability; and (v) functional connectivity fluctuation. In general, patients with Parkinson’s disease showed aberrant values on these five measures of motor state dynamics when DBS was off relative to the values seen in healthy participants, whereas their state dynamics were partially restored (‘relieving effect’ of STN-DBS) or fully restored (‘recovering effect’) to normality (i.e. approaching or reaching the values obtained from healthy participants) when stimulation was turned on. </t>
  </si>
  <si>
    <t>PD has lower frequency occurrence and fractional coverage values for states 1,3,7, but higher values in states 2,4,5,8</t>
  </si>
  <si>
    <t>spontaneous fluctuations in functional connectivity between and within the regions of interest occurring during rs-fMRI scanning were significantly stronger for the healthy control group (Fig. 4A, middle) than for patients under DBS-off (Fig. 4A, left</t>
  </si>
  <si>
    <t>Statistically state transition differences between PD and HC: 2 to 7 (HC higher), 2 to 5 and 2 to 4 (PD higher), 7 to 6 (HC higher), 4 to 5 (PD higher), 1 to 7, 6 to 7, 3 to 1 (HC higher). Overall, HC has higher transition</t>
  </si>
  <si>
    <t>Motor Correlate Finding 2</t>
  </si>
  <si>
    <t>Motor Correlate Finding 1</t>
  </si>
  <si>
    <t>increased fractional coverage of State 1 following DBS was associated with improvements in posture and speech</t>
  </si>
  <si>
    <t>increased fractional coverage of State 3 was accompanied by improvements in postural and kinetic tremor</t>
  </si>
  <si>
    <t>an increased fractional coverage of State 7 was related to improvements of patients’ posture</t>
  </si>
  <si>
    <t>Motor Correlate Finding 3</t>
  </si>
  <si>
    <t>Motor Correlate Finding 4</t>
  </si>
  <si>
    <t>Motor Correlate Finding 5</t>
  </si>
  <si>
    <t>Specifically, increased probability of transitioning from States 2 to 7 following STN-DBS was associated with improved rigidity scores</t>
  </si>
  <si>
    <t>ncreased transition probability from States 4 to 5 correlated with improved gait scores</t>
  </si>
  <si>
    <t>Increase transition probabilities related to improved or beter score for motor performances. State-wise, increase coverage in state with postive activation of motor network related to improved motor performances</t>
  </si>
  <si>
    <t>PPMI</t>
  </si>
  <si>
    <t>Sliding window</t>
  </si>
  <si>
    <t>57 via ICA</t>
  </si>
  <si>
    <t>Number of states</t>
  </si>
  <si>
    <t>State 1: globally integrated state (22%), state 2: more connected state (25%), state 3: lesser connected state (39%)</t>
  </si>
  <si>
    <t>Dwell time, no significant differnces between group</t>
  </si>
  <si>
    <t>Number of transition, no significat differences between groups</t>
  </si>
  <si>
    <t>Number of transition, HC has higher than PD</t>
  </si>
  <si>
    <t>association  between UPDRS-III scores and the number of bidirectional transitions  between the GI and the LC state (τb(N = 52) = .245; p = .012) was  observed in the PD group: high transition is related to better motor performance</t>
  </si>
  <si>
    <t>negative associations of the UPDRS-III and the  total number of transitions (τb(N = 63) = .307, p &lt; .001) and number  of bidirectional transitions between the GI and the LC state  (τb(N = 63) = .227, p = .010) and the MC and the LC  state (τb(N = 63) = .213, p = .015) in the PD group: high transition is related to better motor performance</t>
  </si>
  <si>
    <t>significant negative associations between UPDRS-III  motor scores and average time spent in the GI state (τb(N = 63)  = .276, p = .002) and the MC state (τb(N = 63) = .201, p = .022): spending more in the integrated/connected states related to higher motor performance</t>
  </si>
  <si>
    <t>spending more in the integrated/connected states related to higher motor performance, high transition is related to better motor performance</t>
  </si>
  <si>
    <t>high transition is related to better motor performance</t>
  </si>
  <si>
    <t>No statistically significant correlation between dFC measures and MMSE</t>
  </si>
  <si>
    <t>TE (ms)</t>
  </si>
  <si>
    <t>TR (ms)</t>
  </si>
  <si>
    <t>Voxel size</t>
  </si>
  <si>
    <t>Field strength</t>
  </si>
  <si>
    <t>GSR</t>
  </si>
  <si>
    <t>Spatial Smoothing</t>
  </si>
  <si>
    <t>Temporal filtering</t>
  </si>
  <si>
    <t>3x3x3</t>
  </si>
  <si>
    <t>2x2x2</t>
  </si>
  <si>
    <t>4x4x4</t>
  </si>
  <si>
    <t>FWHM = 6</t>
  </si>
  <si>
    <t>24p + WM-CSF</t>
  </si>
  <si>
    <t>Bandpass: 0.009 - 0.08Hz</t>
  </si>
  <si>
    <t>No</t>
  </si>
  <si>
    <t>FWHM = 8</t>
  </si>
  <si>
    <t>6p</t>
  </si>
  <si>
    <t>Private</t>
  </si>
  <si>
    <t>Not reported</t>
  </si>
  <si>
    <t>2.2x2.2x2.2</t>
  </si>
  <si>
    <t>Scan length (minutes)</t>
  </si>
  <si>
    <t>FWHM = 5</t>
  </si>
  <si>
    <t>FWHM = 5 and FWHM = 4</t>
  </si>
  <si>
    <t>CompCor</t>
  </si>
  <si>
    <t>Bandpass: 0.002 - 0.125Hz</t>
  </si>
  <si>
    <t>375 (333 cortical parcels using the Gordon atlas,28 14 subcortical regions from Harvard–Oxford subcortical atlas, and 28 cerebellar parcels from the SUIT atlas)</t>
  </si>
  <si>
    <t>Multiplication of temporal derivative metric</t>
  </si>
  <si>
    <t>There are 3 states based on the desing: resting, pre-tremor, and tremor</t>
  </si>
  <si>
    <t>Data availability</t>
  </si>
  <si>
    <t>https://data.donders.ru.nl/?1</t>
  </si>
  <si>
    <t>Upon request</t>
  </si>
  <si>
    <t>pretremor state shows higher integration compared to rest state but then lower again in tremor state</t>
  </si>
  <si>
    <t>higher integration is related to higher tremor amplitude</t>
  </si>
  <si>
    <t>Higher integration during pre tremor is related to higher tremor amplitude in tremor state</t>
  </si>
  <si>
    <t>OFF state</t>
  </si>
  <si>
    <t>ON state</t>
  </si>
  <si>
    <t>3.75x3.75x3.75</t>
  </si>
  <si>
    <t>Bandpass: 0.01 - 0.08Hz</t>
  </si>
  <si>
    <t>15 via ICA, categorized into 3 networks</t>
  </si>
  <si>
    <t>Sliding window and k-mean</t>
  </si>
  <si>
    <t>PD has higher dwell time in state 2 (segregated state compared to HC)</t>
  </si>
  <si>
    <t>PD has lower dwell time in state 4 (integrated state compared to HC)</t>
  </si>
  <si>
    <t>PD spend more in State 2 (segregated) compared to HC (fractional window)</t>
  </si>
  <si>
    <t>No significant difference in number of transition</t>
  </si>
  <si>
    <t>Higher dwell time in segregated state is correlated to higher tremor score</t>
  </si>
  <si>
    <t>Higher number of transition is related to lower tremor scores</t>
  </si>
  <si>
    <t>higher transition related to better motor performance, PD is related to spending more time in segregated state. Also talk about compensatory mechanism</t>
  </si>
  <si>
    <t>OFF and ON state</t>
  </si>
  <si>
    <t>22 via ICA categorized into 7 networks</t>
  </si>
  <si>
    <t>In ON phase, dwell time and fractional window in state 1 (integrated state) is higher for LID group compared to no LID</t>
  </si>
  <si>
    <t>Number of transition showed no significant differences between groups</t>
  </si>
  <si>
    <t>Severer dyskinesia (lower motor performance) is related to longger stay in less integrated state (State 2, more segregated)</t>
  </si>
  <si>
    <t>more time in integrated state is related to lower motor perofrmance (appearance of LID), higher time spent in integrated state is related to severer dyskinesia (lower motor performance)</t>
  </si>
  <si>
    <t>22 via ICA categorized into 6 networks</t>
  </si>
  <si>
    <t>Low: 0.15Hz</t>
  </si>
  <si>
    <t>State 5 (least integrated)  more frequent (42%) than State 1 (most integrated) (12%), State 2 (balance) (13%), State 3 (balance) (11%),  or State 4 (balance) (22%). State 1–5 shared the similarity  in within-network connections of SMN and VIS, while they still possessed some unique between-network interconnection patterns. State  1 was prominently characterized by strong positive between-network  connections in VIS-SMN and negative between-network connections in VIS-DMN. Centered on CEN (particularly the IC 50), State 2  primarily exhibited strong positive between-network connections in  CEN-SMN and negative between-network connections in CEN-VIS.  For State 3, VIS took a vital role, which had strong positive connection  with SMN and negative connections with DMN and BG. In State 4, interconnections were centered on CEN (particularly in IC 38 and IC 41),  with strong between-network connections in CEN-DMN and positive  between-network connections in CEN-SMN. Combing Figure 2A,B,  we found relatively weak within-network connectivity in SMN and  VIS, as well as global neutral between-network connectivity in State 5</t>
  </si>
  <si>
    <t>Combined with the visualized cluster centroids (Figure 3A), state 1, which was the most frequent one (47%), was characterized by sparse connections both within and between networks, with relatively weak connectivity mainly located within DMN or VIS. State 2 (25%) was characterized by DMN-dominated and CEN-disconnected patterns, in which strong correlations were mainly exhibited within the DMN and between DMN and other networks (CEN/SMN/AUD), while the CEN showed sparse intra-network connections and internetwork connections with SMN/VIS/AUD. State 3 (17%) was characterized by relatively stronger positive connections within and between each state. State 4 (11%) was characterized by a regionally densely connected pattern, which showed positive correlations located mainly within VIS/SMN and between these two networks. State 1 more segregated, State 2 DMN and CEN domination, state 3 mote integrated, state 4 more between VIS and SMN</t>
  </si>
  <si>
    <t>General findings across studies</t>
  </si>
  <si>
    <t>Higher fraction time and dwell time in state 2 (DMN) found in dPD comapred to no dPD</t>
  </si>
  <si>
    <t>Postive correlation between time spent in state 2 (DMN dominated) and HAMD score for depression</t>
  </si>
  <si>
    <t>Spending time more in the DMN related state, related to dementia</t>
  </si>
  <si>
    <t>In terms of graph measures, local efficiency, small worldness, and clutering coefficient are higher for HC compared to other PD groups</t>
  </si>
  <si>
    <t>Use Graph measures</t>
  </si>
  <si>
    <t>Number of volumes</t>
  </si>
  <si>
    <t>High: 0.01Hz</t>
  </si>
  <si>
    <t>dFC Parameters (shift)</t>
  </si>
  <si>
    <t>dFC Parameters (number of windows)</t>
  </si>
  <si>
    <t>264 (Power atlas</t>
  </si>
  <si>
    <t>Connection between ROIs and the rest of the brain</t>
  </si>
  <si>
    <t>No states</t>
  </si>
  <si>
    <t>No differences between PD and HC in terms of their dynamic connectivity profiles of FPN and DMN with the rest of the brain</t>
  </si>
  <si>
    <t>PD patients without MCI had a higher dFC of the DMN with the rest of the brain</t>
  </si>
  <si>
    <t>With respect to memory functioning, dFC of the DMN was positively associated with performance on the CFR</t>
  </si>
  <si>
    <t>No correlation between motor symptoms and dFC of DMN and FPN</t>
  </si>
  <si>
    <t>Not much significant findings, only that DMN is related to better memory, also found in PD wihtout MCI</t>
  </si>
  <si>
    <t>Cohorts</t>
  </si>
  <si>
    <t>Cross-sectional</t>
  </si>
  <si>
    <t>Low:0.10Hz</t>
  </si>
  <si>
    <t>Low: 0.1 Hz</t>
  </si>
  <si>
    <t>dFC Parameters (other than sliding window)</t>
  </si>
  <si>
    <t>dFC Parameters (Win Size s)</t>
  </si>
  <si>
    <t>Will be made available</t>
  </si>
  <si>
    <t>State 4 the most frequent the most segregated, state 1 domnicated by VIS, CEN, DMN, state 2 involves VIS, DMN, CB, state 3 the most integrated</t>
  </si>
  <si>
    <t>Both PD groups comapred to healthy control, have lower fractional windows and dwell time in state 3 (more integrated state)</t>
  </si>
  <si>
    <t>PD with REM disorder have longer dwell time in state 4 (segregated state) comapred to without REM disorder</t>
  </si>
  <si>
    <t>PD comapred to HC spends less time in integrated state. Moreover, PD with REM disorder spend more time in segregated state than without REM disorder. Together, spending time in integrated state is important</t>
  </si>
  <si>
    <t>3.5x3.5x3.5</t>
  </si>
  <si>
    <t>24 via ICA categorized into 8 networks</t>
  </si>
  <si>
    <t>27 via ICA categorized into 7 networks</t>
  </si>
  <si>
    <t>Low: 0.15HZ</t>
  </si>
  <si>
    <t>3DDESPIKE</t>
  </si>
  <si>
    <t>https://www.ppmi-info.org/</t>
  </si>
  <si>
    <t>State 4 least frequent but most integrated), State II occurred most frequently and was characterized by extensive sparse weak intra/ internetwork connectivity. State I was characterized by strong positive connectivity intranetwork of the DMN and VIS, while negative connectivity internetwork between the DMN and VIS. For state III, strong positive connectivity within the DMN, positive and negative connectivity between DMN and CEN, and negative connectivity between DMN with SMN and VIS.</t>
  </si>
  <si>
    <t>patients in the PD-EDS group had significantly higher fractional time and mean dwell time in state IV (p = 0.015, p = 0.027, FDR-corrected) and lower fractional time in state I (p = 0.022, FDR-corrected) than the patients in the PD-noEDS group.</t>
  </si>
  <si>
    <t>Patient with EDS disorder spend more time in integrated state. Integration is not helpful here</t>
  </si>
  <si>
    <t>State 2 emerged as the most frequent state, exhibiting the lowest degree of interconnectedness. Conversely, state 4 was the least frequent but demonstrated the highest interconnectedness. The frequency and degree of connection between states 1 and 3 were comparable (Fig. 3). Notably, not all participants exhibited all four identified states.</t>
  </si>
  <si>
    <t>Longitudinal (3-year follow-up)</t>
  </si>
  <si>
    <t>62.84 ± 10.5</t>
  </si>
  <si>
    <t>3.3x3.3x3.3</t>
  </si>
  <si>
    <t>29 via ICA</t>
  </si>
  <si>
    <t>19% of the matrices clustered into state 1, characterizing positive coupling within the VIS network. State 2 contained 22% of the matrices, which characterized positive coupling within SMN, within VIS, between SMN and VIS, between DMN and SMN, and between DMN and VIS. State 3 had 56% of the matrices, showing hypo-coupling within and between all networks. State 4 was the smallest, with only 3% of matrices. State 3 the segregated network (most frequent), state 4 the integrated network (least frequent)</t>
  </si>
  <si>
    <t>The temporal properties analysis showed that the fractional windows and mean dwell time of PD-FU at state 2 were  statistically lower than PD-BL.</t>
  </si>
  <si>
    <t>Fractional windows and mean dwell time of PD-FU at state 3 were statistically higher than PD-BL (PD-FU with higher motor sympotom spend more time in segregated state)</t>
  </si>
  <si>
    <t>Higher SCOPA AUT score (higher motor sympotm), higher mean dwell time in the segregated state</t>
  </si>
  <si>
    <t>Higher time spend in segregated states is related to worse motor and non-motor symptom (PD FU with worse motor symptom and SCOPA AUT score)</t>
  </si>
  <si>
    <t>General Group Diff Finding</t>
  </si>
  <si>
    <t>Group Diff Finding 1</t>
  </si>
  <si>
    <t>Group Diff Finding 2</t>
  </si>
  <si>
    <t>Group Diff Finding 3</t>
  </si>
  <si>
    <t>Group Diff Finding 4</t>
  </si>
  <si>
    <t>Group Diff Finding 5</t>
  </si>
  <si>
    <t>3x3x3x</t>
  </si>
  <si>
    <t>19 via ICA</t>
  </si>
  <si>
    <t>2 and 4</t>
  </si>
  <si>
    <t xml:space="preserve"> Also graph theory on 208 FCs for each subject with measures: small-worldness, global efficiency, betweenness centrality, clustering coefficient, and local efficiency of the network.</t>
  </si>
  <si>
    <t>Local and global efficiency</t>
  </si>
  <si>
    <t>State I was the most frequent and relatively sparsely connected (segregated), and State IV was the least frequent and strongly interconnected (integrated). States II and III shared similar network configurations, characterized by positive correlations among the DMN, LFPN, and RFPN, and positive correlations among the CEN, AUD, DAN, and SMN. Most notably, the VIS network showed positive correlations with AUD, DAN, and SMN as well as negative correlations with the DMN, LFPN, and RFPN in State II, whereas the opposite occurred in State III. The percentages of total occurrences were 50% of State I, 18% of State II, 22% of State III, and 11% of State IV.</t>
  </si>
  <si>
    <t>State III occurred more frequently in the PD-FOG group (26.55 23.36%) than it did in the PD-nFOG group (18.56 17.77%)</t>
  </si>
  <si>
    <t>patients with FOG spent  significantly less dwell time in State II and more time in State III than patients without FOG.</t>
  </si>
  <si>
    <t>The number of transitions between brain states was significantly higher in PD-nFOG than in PD-FOG</t>
  </si>
  <si>
    <t>more severe FOG was associated with longer time spent in State III, where the VIS network was negatively correlated with AUD, DAN, and SMN but positively correlated with the DMN, LFPN, and RFPN networks.</t>
  </si>
  <si>
    <t>Higher transition related to no FOG or better motor performance, more severe FOG and worse cognitve perfromance are related to postive correlation between VIS and DMN, LFPN and RFPN</t>
  </si>
  <si>
    <t>Important paper</t>
  </si>
  <si>
    <t>Somehow show compensatory effect, check again FoG and non FoD especially in correlation between MOCA and state III</t>
  </si>
  <si>
    <t>In addition, the visual–spatial and executive subscores of MoCA tended to be negatively correlated with the fractional windows in State III in the PD-FOG group, but not in the PD-nFOG group. No significant findins with graph measures</t>
  </si>
  <si>
    <t>No significant findings with graph measures</t>
  </si>
  <si>
    <t>63.96 ± 7.73</t>
  </si>
  <si>
    <t>59.36 ± 9.87</t>
  </si>
  <si>
    <t>64.40 ± 8.07</t>
  </si>
  <si>
    <t>2 (2–2)</t>
  </si>
  <si>
    <t>2 (1–2)</t>
  </si>
  <si>
    <t>FWHM = 4</t>
  </si>
  <si>
    <t>16 via ICA</t>
  </si>
  <si>
    <t>Criterion</t>
  </si>
  <si>
    <t>Elbow</t>
  </si>
  <si>
    <t>State I occurred most frequently in four states (34%) and showed generally weak connectivity between ICs (segregated), except for strong and positive correlations between the vSMN and lFPN, and between the rFPN and lFPN. In contrast, the other three states demonstrated positive and negative couplings between ICs and were less frequent (state II 23%, state III 24%, and state IV 19%). State III distinguished itself from state II and state IV by the domination of a strong and positive connectivity of vSMN with DMN, dSMN, and lFPN. In state II, lFPN had a strong and positive connectivity with vSMN and dSMN but a negative connectivity with DMN, and dSMN had a negative connectivity with both BG and DMN. State IV (integrated) was characterized by the presence of relatively strong connectivity related to rFPN, positive correlation with DMN and lFPN, and anti-correlations with vSMN.</t>
  </si>
  <si>
    <t>With regard to temporal properties, the mean dwell time in state I was significantly increased in PDTD patients compared with the PDNTD patients</t>
  </si>
  <si>
    <t>Compared with HCs, both  the PD groups showed higher FNC strengths between dSMN and lFPN in state II, and between dSMN and rFPN in state III.</t>
  </si>
  <si>
    <t>In particular, PDTD displayed higher strength in BG-lFPN junction than that in PDNTD, while lower strength in rFPN-lFPN junction. In addition, compared with PDNTD patients, we found greater FNC strength between BG and vSMN in state IV in PDTD patients.</t>
  </si>
  <si>
    <t>increased variability of global efficiency in the PDNTD patients relative to the controls.</t>
  </si>
  <si>
    <t>the dwell time in state I was positively associated with resting tremor (P &lt; 0.05, r = 0.562), suggesting that a higher percentage of time spent in the more sparsely inter-network connected was associated with poor tremor performance.</t>
  </si>
  <si>
    <t>2.875x2.875x5.2</t>
  </si>
  <si>
    <t>35 via ICA</t>
  </si>
  <si>
    <t>Silhoutte criterion</t>
  </si>
  <si>
    <t>a more frequent and relatively sparsely connected State I, and a less frequent and stronger interconnected State II. The percentages of total occurrences of these two states were quite different, with State I more frequent (66%) than State II (34%).</t>
  </si>
  <si>
    <t>In Parkinson’s disease, State I was more frequently observed (69.42 27.10%) than State II (30.58 27.10%); whereas in healthy controls, State I occurred less frequently (55.53 26.43%) (P = 0.008) and State II more commonly (44.47 26.43%) (P = 0.008) compared to Parkinson’s disease (Fig. 5A)</t>
  </si>
  <si>
    <t>State I was more frequent in PDD (83.65 21.70%) than in PD-MCI (65.19 29.12%) and PD-NC (67.69 25.65%) (P 5 0.05, FDR correction); while the opposite pattern was observed for State II, which was less frequent in PDD (16.35 21.70%) than in PDMCI (34.81 29.21%) and PD-NC</t>
  </si>
  <si>
    <t>Parkinson’s disease group showed a significantly longer mean dwell time in State I (Parkinson’s disease: 75.48 58.67, healthy controls: 46.39 39.60; P = 0.007), while there was a trend for a longer mean dwell time in State II in the healthy controls group (healthy controls: 30.13 24.43, Parkinson’s disease: 23.10 24.48; P = 0.137).</t>
  </si>
  <si>
    <t>Between-group comparisons among Parkinson’s disease subgroups revealed that patients with PDD spent significantly more time in State I than PD-MCI and PD-NC patients (PDD: 115.75 63.80, PD-MCI: 67.51 53.12, PDNC: 67.05 55.91, P 5 0.05, FDR correction), and less time in State II as compared to PD-MCI (PDD: 12.88 17.26, PD-MCI: 29.72 31.08, P 5 0.05, FDR correction) and PD-NC, although the latter was seen only as a trend (PDD: 12.88 17.26, PD-NC: 21.18 18.08, P = 0.080).</t>
  </si>
  <si>
    <t>Healthy controls (5.94 2.32) changed more frequently between brain states than patients with Parkinson’s disease (4.59 2.64) (P = 0.007).</t>
  </si>
  <si>
    <t>Key paper that ticks all of the greens</t>
  </si>
  <si>
    <t>we found that dwell time in State I was negatively correlated with cognitive performance on the attention/ working memory, executive, memory and visuospatial domains, as well as on global cognitive scales (MMSE and MoCA) (Table 3).</t>
  </si>
  <si>
    <t>PD compared to healthy control, has higher segregated state but lower integrated state. Also, the worst PD (PDD) has more state 1 than PDMCI, but less state 2 than PD NC. HC has higher number of transition. Worse cogntive perforamnce is associated with long time spent in the segregated state. Number of transition is positvely correlated wihh cogntive performance in all domain</t>
  </si>
  <si>
    <t>Non-Motor Correlate Finding 1</t>
  </si>
  <si>
    <t>Non-Motor Correlate Finding 2</t>
  </si>
  <si>
    <t>60.13 ± 9.20</t>
  </si>
  <si>
    <t>62.13 ± 6.20</t>
  </si>
  <si>
    <t>59.51 ± 6.15</t>
  </si>
  <si>
    <t>2.80 ± 0.79</t>
  </si>
  <si>
    <t>2.63 ± 0.97</t>
  </si>
  <si>
    <t>Band: 0.01 - 0.08Hz</t>
  </si>
  <si>
    <t>Band: 0.01 - 0.08Hz, after ICA: 0.01 - 0.15Hz</t>
  </si>
  <si>
    <t>22 via ICA</t>
  </si>
  <si>
    <t>State 1, which was the most frequent and least interconnected, and State 4, which was the least frequent and most interconnected, were included in the classification. The frequency and strength of the linkage between states 2 and 3 were similar</t>
  </si>
  <si>
    <t>Compared with nPIGD-PD, the PIGD-PD showed reduced MDT and fraction windows in state 4</t>
  </si>
  <si>
    <t>Moreover, the PIGD subgroup depicted decreased NT compared with nPIGD.</t>
  </si>
  <si>
    <t>Compared to HC, fraction windows were increased and decreased in state 1 and state 4, respectively.</t>
  </si>
  <si>
    <t>positive correlation between the PIGD score and the MDT and fractional windows of State 1.</t>
  </si>
  <si>
    <t>Reduced dwell time in integrated state (4) of no PIGD compared to PIGD. Number of transition in nPIGD is higher than PIGD. Compared to HC, both PD groups spend more time in state 1 and less time in state 4. Higher time spend in segregated state is related to higher PIGD score or lower motor performance. Number of transition is negatively correlated with PIGD score: higher transition better motor performance</t>
  </si>
  <si>
    <t>there was a negative correlation between the NT  among states and the PIGD score.</t>
  </si>
  <si>
    <t>63.41 ± 7.06</t>
  </si>
  <si>
    <t>62.84 ± 8.54</t>
  </si>
  <si>
    <t>Band: 0.01 - 0.1Hz</t>
  </si>
  <si>
    <t>24p</t>
  </si>
  <si>
    <t>98 Dosenbach</t>
  </si>
  <si>
    <t>The percentage of total occurrences of State I, State II, and State III was 35.68%, 34.17%, and 30.15%, respectively. State I was characterized by positive correlations between CB and SMN. In State II, correlations were mainly between FPN and SMN, whereas in State III the strongest correlations were between CON and SMN</t>
  </si>
  <si>
    <t xml:space="preserve">In State II (FPN and SMN strong postive), HV had significantly higher FW than PD </t>
  </si>
  <si>
    <t>PD patients showed a significantly shorter MDT in State II (P = 0.003), indicating PD patients spent less time with dominating connections between FPN and SMN</t>
  </si>
  <si>
    <t>PD-ON patients spent significantly more time in State II comapred to PD OFF</t>
  </si>
  <si>
    <t>Given only 3 states, more integrated ans less segregated states are not evident. HC spend more time in state 2 where FPN and SMN are strongly postive. Similarly, PD-ON spend more time in state 2 comapred to PD off</t>
  </si>
  <si>
    <t>Yes, key on the connections between FPN and SMN; weakness on this connections related to PD and PD OFF</t>
  </si>
  <si>
    <t>There is no correlation of any of our measures with the tremor subscore of UPDRS III</t>
  </si>
  <si>
    <t>3.43x3.43x5</t>
  </si>
  <si>
    <t>44 via ICA</t>
  </si>
  <si>
    <t>gap statistic (Tibshirani et al., 2001), the standardized pooled within-cluster sum of squares in within-cluster dispersion that is expected under a reference null distribution, and the silhouette statistic (Rousseeuw, 1987), a ratio of the similarity between windows in the same cluster compared to similarity with windows in a different cluster</t>
  </si>
  <si>
    <t>a more frequent and sparsely connected State I, and a less frequent and more strongly interconnected State II.</t>
  </si>
  <si>
    <t>In healthy controls, the total occurrences of State I were again more frequently observed (83.38 22.28%) than State II (16.62 22.28%). In the Parkinson’s disease group, however, State I occurred less frequently (70.76 4.65%), and State II re-occurred at a higher rate (29.24 4.65%).</t>
  </si>
  <si>
    <t>mean dwell time in State I was significantly shorter in the Parkinson’s disease group compared to the healthy control group</t>
  </si>
  <si>
    <t>the number of transitions between states was positively correlated with the UPDRS motor symptom score</t>
  </si>
  <si>
    <t>Key paper that ticks all of the reds</t>
  </si>
  <si>
    <t>Global and local efficiency</t>
  </si>
  <si>
    <t>Parkinson’s disease group exhibited higher variance in global efficiency compared to the healthy controls group</t>
  </si>
  <si>
    <t>PD more on state II (integrated), HC more on state 1 (segregated), more time in segregated state (state 1) better motor performance, higher transition related to worse motor performance, global efficency for PD is higher</t>
  </si>
  <si>
    <t>High</t>
  </si>
  <si>
    <t>66.6 ± 8.4</t>
  </si>
  <si>
    <t>65.8 ± 7.0</t>
  </si>
  <si>
    <t>67.6 ± 7.7</t>
  </si>
  <si>
    <t>3.1x3.1x3.1</t>
  </si>
  <si>
    <t>10 via ICA</t>
  </si>
  <si>
    <t>Elbow and silhoutte criterion</t>
  </si>
  <si>
    <t>modular organization was less pronounced in state 1 (weaker connections), showing most positive connections within cortical, basal ganglia and cerebellar networks. In contrast, state 2 (strong connections) was marked by highly negative connections, segregating cortical regions from subcortical and cerebellar regions.</t>
  </si>
  <si>
    <t>patients with high response to dopaminergic therapy spent significantly more time in state 1, compared to HC (three-level one-way ANOVA: P = 0.010, post-hoc independent t-tests: t(32) = 3.3, P = 0.002, Fig. 2C).</t>
  </si>
  <si>
    <t>Found 2 states, one is characterized by weaker connections (perhaps more remated to the segregated state mentioned in other papers but not really segregated), another one is stronger connections (more related to the integrated states). Overall, PD spend more time in state 1 and less time in state 2, inline with other findings: PD is characterized by segregated state with weak connections</t>
  </si>
  <si>
    <t>DFC between aMCC/dACC and putamen was significantly lower in patients with a low response to dopaminergic therapy during state 2 and correlated with the effect of dopaminergic treatment on motor performance</t>
  </si>
  <si>
    <t>ON state, did not perform a standardized levodopa challenge to formally measure the levodopa response.</t>
  </si>
  <si>
    <t>3x3x3.5</t>
  </si>
  <si>
    <t>40 via ICA</t>
  </si>
  <si>
    <t>Motion correcton (mostly after ICA)</t>
  </si>
  <si>
    <t>local parameters involved the clustering coefficient, betweenness centrality and the local efficiency, while the global parameters included the global efficiency and assortativity.</t>
  </si>
  <si>
    <t>The most frequent state (State III, 45% of acquisition time, the segregated network) appeared as a withinnetwork FC configuration, particularly associated with the SMN, VIS and ECN networks which almost completely lacks between-network connectivity. By contrast, the other three states were more infrequent  (State I (the integrated network) 16%; State II 19%; State IV 19%), and they displayed betweennetwork FC configurations that included positive correlations between the SMN and VIS networks, as well as anti-correlations between the SMN and DMN, and between the ECN and DMN networks.</t>
  </si>
  <si>
    <t>State III showed a trend to be more frequent (higher FW) in PD-ICD patients (57 ± 0.3) than in the PD noICD subjects (40 ± 0.3) or the HCs (39 ± 0.2) (F (2,50) = 2.41</t>
  </si>
  <si>
    <t>In parallel, these patients showed a significantly larger mean DT in State III (41.5 ± 20.7) (F (2,50) = 3.88; p = 0.027), characterized by stronger local connectivity than PD-noICD subjects (24.8 ± 18.9; p = 0.028) and HCs (21.6 ± 10.5; p = 0.013: Fig 3.A.</t>
  </si>
  <si>
    <t>the mean DT was positively correlated with the TCI-R NS4 sub-score (disorderliness: r (14) = 0.519; p = 0.039) and with the non-planning sub-score of the BIS scale (r (14) = 0.541; p = 0.030),</t>
  </si>
  <si>
    <t>PD with ICD spend more time in state 3 or segregated network compared to HC and no ICD, also spending more time in this state is related to worse in personality and impulsivity</t>
  </si>
  <si>
    <t>the mean percentage FW was correlated with the non-planning sub-score of the BIS scale (r (14) = 0.536; p = 0.032) and with the total score of the BIS scale (r (14) = 0.561; p = 0.024: Fig. 3.B).</t>
  </si>
  <si>
    <t>The PD-ICD patients had greater local efficiency than PD-noICD subjects (the average shortest path connecting all neighbors of a node) in the superior temporal lobe (BA 48; salience network, SAL; p = 0.0440), frontoinsular (BA 6; SAL; p = 0.0384) and cingulate cortices (BA32; SAL; p = 0.0160), all of which belong to the salience network</t>
  </si>
  <si>
    <t>70.7 ± 7.5</t>
  </si>
  <si>
    <t>65.9 ± 5.2</t>
  </si>
  <si>
    <t>69.9 ± 9.3</t>
  </si>
  <si>
    <t>6. Neural data-driven Subtypes</t>
  </si>
  <si>
    <t>30 via ICA</t>
  </si>
  <si>
    <t>Other measures from dFC</t>
  </si>
  <si>
    <t>sequential pattern mining using Seq2Path</t>
  </si>
  <si>
    <t>State 1 (segregated) in Fig. 2 can be characterized as a hypo-connected state, based on the relatively sparse inter- and intra-network connectivity observed. State 2 (integrated) in Fig. 2 can be characterized as a hyper-connected state, as there is a relatively high level of inter- and intra-network FC across RSNs. State 3 in Fig. 2 has a distinct pattern of correlated and anti-correlated functional connectivity among RSNs as seen in both the HC and PD-NC cohorts;</t>
  </si>
  <si>
    <t>https://github.com/kempaaron/seq2pat_notebook</t>
  </si>
  <si>
    <t>doi:10.18112/openneuro.ds005892.v1.0.0.</t>
  </si>
  <si>
    <t>Participants in the PD-MCI group spent significantly more time in the hypo-connected State 1 than did participants in the HC (p = 0.0027, t = 3.23) and PD-NC (p = 0.0226, t = 2.39) groups.</t>
  </si>
  <si>
    <t>Participants in the PD-MCI group also showed a marginally significant trend toward less time spent in State 3 relative to the HC group (p = 0.0562, t = 1.98) and significantly less time than the PD-NC (p = 0.0160, t = 2.55) group.</t>
  </si>
  <si>
    <t>For State 2, the participants in the PD-NC group trended toward spending less time in this hyper-connected state relative to those in the HC group (p = 0.0553, t = 1.98),</t>
  </si>
  <si>
    <t>PD MCI spend more time in state 1 (segregated state) compared to PD NC and HC; again worse is related to segregated state. Also, HC spend more time in state 2 (integrated state); integrated state is helpful</t>
  </si>
  <si>
    <t>A machine-learning method using sequential pattern mining was also found to distinguish among the groups with moderate accuracies ranging from 0.53 to 0.80, revealing distinct sequential patterns in the temporal ordering of dFNC states.</t>
  </si>
  <si>
    <t>This important paper to not only consider the states but also the sequence of them</t>
  </si>
  <si>
    <t>Small sample size</t>
  </si>
  <si>
    <t>1.79 (0.39)</t>
  </si>
  <si>
    <t>1.93 (0.50)</t>
  </si>
  <si>
    <t>Band: 0.008 - 0.09Hz, low: 0.15Hz</t>
  </si>
  <si>
    <t>global efficiency, clustering coefficient, local efficiency, betweenness centrality</t>
  </si>
  <si>
    <t>State 1 (integrated) (22% of the windows) was characterized by the presence of stronger connectivity, with positive correlation between SM and VI networks, and anti-correlations between CC, DMN and CB; State 2 (segregated) (78% of the windows) was characterized by weaker connectivity within and between networks, showing some modularity in SM, VI and DMN (see Fig. 2).</t>
  </si>
  <si>
    <t>PD-MCI patients showed significantly reduced mean dwell time in state 2, characterized by weaker connectivity, compared with the HC (t = 2.14; p = 0.030; Cohen'd = 0.61)</t>
  </si>
  <si>
    <t>PD-MCI patients showed significantly increased state transition compared with the HC (t = 2.82; p = 0.007; Cohen'd = 0.80)</t>
  </si>
  <si>
    <t>Compared to HC, PD MCI spend less time in state 2 (segregated state) also higher number of transition compared to HC</t>
  </si>
  <si>
    <t>In state 2, significant FC differences between groups were found in PD-MCI patients compared with HC. PD-MCI patients showed reduced inter-network connectivity compared with the HC group</t>
  </si>
  <si>
    <t>Connectivity reductions were found mostly between the SM and CC networks, but SM-VI, SM-AUD, CC-VI and SCDMN reductions were also found in PD-MCI compared with the HC</t>
  </si>
  <si>
    <t>PD-MCI patients showed a reduced clustering coefficient in the right precentral gyrus (BA4; SM) compared with the HC, PD-MCI patients also showed reduced betweenness centrality in the left paracentral gyrus (BA6; SM) compared with PD-NC patients (t = 3.57; p &lt; 0.001</t>
  </si>
  <si>
    <t>https://github.com/AngelikaZa/TVFC</t>
  </si>
  <si>
    <t>232: 200 cortical via Schaefer, 32 subcortical via Tian</t>
  </si>
  <si>
    <t>Not as dFC measures but in the process of cartographic profile</t>
  </si>
  <si>
    <t>Sliding window and k-mean via cartographic profile</t>
  </si>
  <si>
    <t>Cartographic profile to identify segregated and integrated state using measures of within module degree and participation coefficient</t>
  </si>
  <si>
    <t>2 states: integrated and segregated states</t>
  </si>
  <si>
    <t>PD-VH spent a significantly smaller proportion of time in the Integrated state (therefore more time in the Segregated state) than PD-non-VH (β = −0.113, p = 0.032) and controls (β = −0.128, p = 0.026)</t>
  </si>
  <si>
    <t>Mean dwell time (number of consecutive windows spent in each state) in the Segregated state was higher in PD-VH than PD-non-VH (19.1 ± 16.9 in PD-VH vs 9.5 ± 9.1 in PD-non-VH H = 4.058, p = 0.044), but did not differ for the Integrated state (H = 2.166, p = 0.141).</t>
  </si>
  <si>
    <t>he total number of transitions was lower in PD-VH than PDnon-VH (5.7 ± 5.3 in PD-VH vs 8.5 ± 6.2 in PD-non-VH, H = 3.87, p = 0.049)</t>
  </si>
  <si>
    <t>PD with halucination spend more time in segregated state and less time in integrated state compared to without halucination and control. Number of transition also lower in PD with halucination compared to without</t>
  </si>
  <si>
    <t>62.67 ± 8.19</t>
  </si>
  <si>
    <t>61.71 ± 9.59</t>
  </si>
  <si>
    <t>61.92 ± 5.57</t>
  </si>
  <si>
    <t>33.00 ± 14.61</t>
  </si>
  <si>
    <t>26.62 ± 13.03</t>
  </si>
  <si>
    <t>2.3 ± 0.8</t>
  </si>
  <si>
    <t>2.2 ± 0.6</t>
  </si>
  <si>
    <t>23 via ICA</t>
  </si>
  <si>
    <t>Low: 0.1Hz</t>
  </si>
  <si>
    <t>The state 1, state 3 and state 5 were generally characterized by positive couplings in CB-CEN and within-network connections of SMN, while state 1 showed positive connection in AUD-VIS, state 3 showed positive connection in CENSMN, state 5 showed negative connection in CEN-SMN, positive connection within DMN. State 2, centered on IC 39 (left inferior frontal gyrus) and IC 23 (left middle occipital gyrus), manifested as tightly connections among CEN, VIS, BG and DMN, including positive and negative. State 4 primarily exhibited positive connections in DMN-BG, DMN-SMN and negative connections in DMN-VIS. State 6 and state 7 shared the similarity in positive connections in DMN-SMN and AUD-VIS, paralleling with within-network connections of DMN and SMN. In addition, state 6 also appeared negative connections in DMN-VIS and DMN-BG, while state 7 exhibited positive connection in AUD-CEN. State 1 is the segregated state with weaker connections, state 6 is the segregated state with stronger connections</t>
  </si>
  <si>
    <t>There were no significant group differences as regards the temporal properties of each state.</t>
  </si>
  <si>
    <t>In comparison to PD-NFOG, the dFNC pattern differences was mainly manifested as increased FC between DMN and BG in state 2 in PD-FOG, as a concrete manifestation of increased FC between IC7 and IC9 (FDR corrected, Fig. 3A). Compared to HCs, PD patients showed altered FC in state 3 and state 5, primarily manifested as decreased FC between CEN and VIS, CEN and SMN, paralleling with increased FC between CEN and BG</t>
  </si>
  <si>
    <t>he mean dwell time of state 2 was positively associated with FOGQ (r = 0.470, P = 0.036) and UPDRS-III scores (r = 0.523, P = 0.018), possibly indicating the freezing symptoms and motor function worsened with the prolonged dwell time in state 2</t>
  </si>
  <si>
    <t>Additionally, fractional windows in state 2 was positively linked to FOGQ scores (r = 0.639, P = 0.002, Fig. 4), suggesting that a greater percentage of time spent in state 2, the severer of freezing gait.</t>
  </si>
  <si>
    <t>PD-FOG group exhibited lower variance in Ne of IC7 (left precuneus) in relative to PD-NFOG group, indicating that this region might lost the dynamic adjustment capacity in information processing and communication across windows</t>
  </si>
  <si>
    <t>No group differences regarding the temportal properties of the states, perhaps too many states. In terms of medical correlate, spending more time in State 2, not really segregated and also nto really integrated, is related to worse motor performance</t>
  </si>
  <si>
    <t>Longitudinal (PD-OFF and PD-ON)</t>
  </si>
  <si>
    <t>Note on sample</t>
  </si>
  <si>
    <t>Longitudinal</t>
  </si>
  <si>
    <t>63.35 ± 8.74</t>
  </si>
  <si>
    <t>63.19 ± 10.32</t>
  </si>
  <si>
    <t>1.91 ± 0.67</t>
  </si>
  <si>
    <t>43 via ICA</t>
  </si>
  <si>
    <t>Band: 0.01 - 0.1 Hz</t>
  </si>
  <si>
    <t>Important in the prespective of trying different window length</t>
  </si>
  <si>
    <t>strongly connected State 1 and sparsely connected State 2</t>
  </si>
  <si>
    <t>We found that the State 1 occurrence in PD-OFF (p = 0.044) and PD-ON (p = 0.027) was significantly decreased, while the State 2 occurrence in PD-OFF (p = 0.043)  and PD-ON (p = 0.028) was significantly increased compared to HC (Fig. 3a).</t>
  </si>
  <si>
    <t>Specifically, the mean dwell time in State 1 was significantly shorter in PD-OFF (p = 0.041) and PD-ON (p = 0.003) than HC, while the mean dwell time in State 2 was significantly longer in PD-OFF than PD-ON (p = 0.029) and HC (p = 0.005)</t>
  </si>
  <si>
    <t>Compared to HC, PD in both statates have lower occurance in state 1 (integrated) and higher occurrence in State 2 (segregated). Similar with dwell time or time spent, PD OFF spend less time in state 1 (integrated) and more time in state 2 (segregated) compared to HC and PD ON. PD ON has higher numebr fo transitin than PD OFf. So integrated state and higher number of transition help</t>
  </si>
  <si>
    <t>We found that PDON showed significantly increased number of transitions compared with PD-OFF (p = 0.020).</t>
  </si>
  <si>
    <t>We found that the PD-ON showed significantly higher Var(dFC) in VN (p = 0.017), between AUN and BGN (p = 0.018), and between AUN and VN (p = 0.007), but significantly lower Var(dFC) in AUN (p = 0.045), SMN (p = 0.020), and between BGN and SMN (p = 0.013) than the PD-OFF.</t>
  </si>
  <si>
    <t>Before L-dopa therapy, we found that PD patient showed significantly lower Var(dFC) in VN (p = 0.023), between VN and BGN (p = 0.020), between CEN and VN (p = 0.004), between CN and DMN (p = 0.006), between DMN and VN (p = 0.013), compared to HC. After L-dopa therapy, we PD showed significantly lower Var(dFC) in AUN (p = 0.014) and DMN (p = 0.004), between BGN and DMN (p = 0.018), between CN and DMN (p = 0.005), between DMN and SMN (p = 0.019), and between DMN and VN (p = 0.010).</t>
  </si>
  <si>
    <t>altered Var(dFC) within the AUN was positively correlated with altered UPDRS-III in the PD patients (p &lt; 0.05).</t>
  </si>
  <si>
    <t>60.46 ± 8.89</t>
  </si>
  <si>
    <t>59.40 ± 7.53</t>
  </si>
  <si>
    <t>59.60 ± 10.00</t>
  </si>
  <si>
    <t>1.85 ± 0.71</t>
  </si>
  <si>
    <t>1.71 ± 0.65</t>
  </si>
  <si>
    <t>Cerebelum via Spatially Unbiased Infratentorial Template (SUIT)</t>
  </si>
  <si>
    <t>Calinski–Harabasz and Davies–Bouldin indices and silhoutte criterion</t>
  </si>
  <si>
    <t>a less frequent and relatively strongly connected State I (integrated), and a more frequent but relatively sparsely connected State II (segregated).</t>
  </si>
  <si>
    <t>State I was less frequent in LPD (26.23% ± 27.69%) than in RPD (43.25% ± 32.36%) and HCs (39.38% ± 30.30%), while the opposite pattern was observed for State II, which was more frequent in LPD (73.77% ± 27.69%) than in RPD (56.75% ± 32.36%, p = 0.013, Bonferroni correction) and HCs (60.62% ± 30.30%, p = 0.038, Bonferroni correction) with age and sex as covariates.</t>
  </si>
  <si>
    <t>LPD group showed a significantly longer MDT in State II than HCs (LPD: 66.59 ± 48.06, HCs: 44.18 ± 39.82; p = 0.014, Bonferroni correction), while there was a trend for a longer MDT in State II than the RPD group (RPD: 47.81 ± 47.86; p = 0.094, Bonferroni correction) with age and sex as covariates.</t>
  </si>
  <si>
    <t>LPD patients stay longer in State II, which is characterized by sparse  within-network functional connectivity and dwelling longer in the sparsely interconnected State II.</t>
  </si>
  <si>
    <t>MDT of State I was positively related to the rigidity subitems (r = 0.368, p = 0.013) in LPD patients. This meant that worse rigidity performance was associated with a long time spent in the more strongly connected State I in LPD patients.</t>
  </si>
  <si>
    <t>the MDT of State II demonstrated a positive correlation with the RBD-HK scores (r = 0.385, p = 0.009) in LPD patients. This represented that worse sleep disturbance was associated with a long time spent in the more sparsely connected State II for LPD patients.</t>
  </si>
  <si>
    <t>We also found positive associations between fractional windows and RBD-HK scores (r = 0.411, p = 0.001) in RPD patients. This suggested that RPD patients with more severe RBD spent a higher percentage of total time in State II.</t>
  </si>
  <si>
    <t>Final note integration and number of transition helpful</t>
  </si>
  <si>
    <t>Final note integration and number of transition not helpful</t>
  </si>
  <si>
    <t>Final note neutral</t>
  </si>
  <si>
    <t>Tremor disorder patients Spend more time in state 1 (segreggated state) compared to tremor disorder (integrated state better for mtoor perforamcne). Higher time spend in segregated state related to poorer mtoor performance.</t>
  </si>
  <si>
    <t xml:space="preserve"> However, it also found global efficientcy in PD is higher than HC</t>
  </si>
  <si>
    <t>State 1 (segregated) less frequent in LPD compared to RPD and HC, state 2 more frequent for LPD comapred to RPD and HC. HC spent less time in State 1 and more time in State 2 comapred to PD. Non motor correlate show that spending more time in the segregated state leads to worse sleep disturbance</t>
  </si>
  <si>
    <t>Focus on cerebellum</t>
  </si>
  <si>
    <t>Longitudinal (Before and after DBS)</t>
  </si>
  <si>
    <t>55.3 ± 10.1</t>
  </si>
  <si>
    <t>3 – 4</t>
  </si>
  <si>
    <t>3x3x2.5</t>
  </si>
  <si>
    <t>6p + WM=CSF</t>
  </si>
  <si>
    <t>High: 0.078Hz</t>
  </si>
  <si>
    <t>25 via ICA</t>
  </si>
  <si>
    <t>Important paper in the perspective of tring different atlas sizes, also find the biological markers of the states and the transition from neurotransmitters</t>
  </si>
  <si>
    <t>global efficiency, assortativity, clustering coefficient, betweenness centrality</t>
  </si>
  <si>
    <t>State 1 more integrated, stronger connections. State 2 more segregated, weaker connections</t>
  </si>
  <si>
    <t>no statistically significant correlations between d-FC measures and response to STN-DBS at one year after DBS implantation.</t>
  </si>
  <si>
    <t>response to STN-DBS was negatively correlated with network assortativity</t>
  </si>
  <si>
    <t>No significant findings in terms of temporal properties of the states between before and after DBS</t>
  </si>
  <si>
    <t>65.6 ± 8.1</t>
  </si>
  <si>
    <t>64.0 ± 8.9</t>
  </si>
  <si>
    <t>62.2 ± 8.1</t>
  </si>
  <si>
    <t>2 (1.25)</t>
  </si>
  <si>
    <t>2 (0.75)</t>
  </si>
  <si>
    <t>PD Med Status during scan</t>
  </si>
  <si>
    <t>global efficiency (Eg), average local efficiency (Eloc), nodal local efficiency (Nle), and "small-world" attributes (Sigma)</t>
  </si>
  <si>
    <t>State 1 occurred at a frequency of 64 % and exhibited a sparse connectivity pattern with predominantly positive connections within and between networks, except for a negative connection between the DMN and ATN. State 2 occurred at a frequency of 20 % and showed slightly stronger intra- and inter-network connections, with particularly close connections between the SMN and VIS. State 3 occurred at a frequency of only 1 %, exclusively observed in the HC group data, and was not found in patients with PD. State 4 occurred at a frequency of 16 % and primarily exhibited positive connections between the networks, with close connections observed between the SMN and VIS.</t>
  </si>
  <si>
    <t>The TD group showed significant increases in score windows and average dwell time in State 1 compared with the HC group (P &lt; 0.05)</t>
  </si>
  <si>
    <t>The TD group showed increased connectivity between the ECN and VIS in State 1, compared with the ARD group.</t>
  </si>
  <si>
    <t>In comparisons between TD-HC and ARD-HCs, increased DMN-DMN connectivity and decreased ATN-VIS connectivity were observed in State 2. Additionally, in State 4, reduced SMN-SMN connectivity was observed in TD-HC and ARD-HC comparisons.</t>
  </si>
  <si>
    <t>However, in State 2, the TD group exhibited reduced SMN-SMN connectivity than did the HC group, whereas the ARD group showed fewer ECN-VIS connections.</t>
  </si>
  <si>
    <t>In State 4, the TD group demonstrated reduced connectivity between the VIS and the SMN or AUD, whereas the ARD group showed decreased connectivity between the SN and DMN</t>
  </si>
  <si>
    <t>In the TD group, UPDRS-III scores positively correlated with the score windows and average dwell time of State 1 (r = 0.461, P = 0.0175; r = 0.412, P = 0.0257) (Suppl. Fig. 2). In the ARD group, the UPDRS-III scores exhibited a positive correlation with the score windows and average dwell time in State 1 (r = 0.509, P = 0.0105; r = 0.499, P = 0.0105), a negative correlation with the score windows and average dwell time in State 2 (r = -0.416, P = 0.0252; r = -0.461, P = 0.0163)</t>
  </si>
  <si>
    <t>UPDRS-III scores were negatively correlated with transition counts in the TD group (r = -0.453, P = 0.0175) and the ARD group (r = -0.408, P = 0.0252)</t>
  </si>
  <si>
    <t>Group Diff Finding 6</t>
  </si>
  <si>
    <t>At the whole-brain network level, the TD and ARD groups showed significantly reduced variance in Eg than the HC group (P &lt; 0.05); however, there was no significant difference in Eloc</t>
  </si>
  <si>
    <t>Integrated state only found in HC. Dweel time in segregated state (state 1) is higher than HC. In terms of clinical correlate, spending more time in segregated state (state 1) is related to worse motor performance, spending less time in state 2 (motre integrated than state 1) is related to better motor perrformance. Higher transition also related to better performance. Graph measures, global efficiecncy is higher for HC compared to PDs</t>
  </si>
  <si>
    <t>Sticky Weighted Time Varying Model</t>
  </si>
  <si>
    <t>Important paper, new method no sliding window</t>
  </si>
  <si>
    <t>48 Freesurfer derived</t>
  </si>
  <si>
    <t>2: zero states and non zero states</t>
  </si>
  <si>
    <t>2 types of states: zero states and non zero states</t>
  </si>
  <si>
    <t>The averaged network variations were significantly lower in the PD group</t>
  </si>
  <si>
    <t>We note that the PD group has a larger time period with different parameters compared with that of control group.</t>
  </si>
  <si>
    <t>we note that the PD group had a significantly smaller switching ratio</t>
  </si>
  <si>
    <t>Compared to HC, PD has lower network variation, higher time duration in zero states, and lower number of switching</t>
  </si>
  <si>
    <t>Important paper proposing another method for DFC, addressing the main problm with sliding window: determining window size</t>
  </si>
  <si>
    <t>3.75x3.75x4</t>
  </si>
  <si>
    <t>264 (Shen) and 116 (AAL)</t>
  </si>
  <si>
    <t>Identified areas</t>
  </si>
  <si>
    <t>Robustness by different atlas and window size</t>
  </si>
  <si>
    <t>The nodal variability of precentral and postcentral gyrus (in SMN), middle occipital gyrus (in visual network), putamen (in subcortical network) and cerebellum in patients showed significantly increased variability (p &lt; 0.005, 10000 permutations, uncorrected) compared to NCs</t>
  </si>
  <si>
    <t>Among the 13 subnetworks, we found that subnetworks including subcortical network, SAN and visual network tended to display greater intra-network variability in PD than NCs</t>
  </si>
  <si>
    <t>Only the variability of intra-subcortical network showed a positive correlation with UPDRS-III by spearman correlation analysis</t>
  </si>
  <si>
    <t>Between group comparisons for the variability matrices revealed significantly greater inter-network variability in PD patients compared with NCs in several subnetwork pairs associated with SMN, visual, subcortical networks and cerebellum.</t>
  </si>
  <si>
    <t>Compared with NCs, PD group had greater inter-network variabilities for the subnetwork pairs of subcortical network with respect to sensorimotor, visual, ventral attention, dorsal attention, and cerebellum networks, and their variability also had significant positive correlation with UPDRS-III in PD patients (Figures 4A–E).</t>
  </si>
  <si>
    <t>In addition, the inter-network variability for subnetwork pairs of cerebellum and auditory network also showed group difference as well as significant positive correlation  with UPDRS-III (Figure 4F)</t>
  </si>
  <si>
    <t>Significant correlation between inter-network variability and UPDRS-III mainly appeared in subnetwork pairs associated with subcortical network and cerebellum</t>
  </si>
  <si>
    <t>One of the studies that do not look at the states of the dynamic FC but looks at the temporal variability in nodal level, within network, and between networks</t>
  </si>
  <si>
    <t>No PD</t>
  </si>
  <si>
    <t>No dFC, dynamic but in terms of activation pattern</t>
  </si>
  <si>
    <t>Great of defining dynamic functional connectivity via multplication of temporal derivative metric</t>
  </si>
  <si>
    <t>No dFC, sliding window on structural images</t>
  </si>
  <si>
    <t>No fMRI (EEG)</t>
  </si>
  <si>
    <t>No dFC</t>
  </si>
  <si>
    <t>Full text Screening</t>
  </si>
  <si>
    <t>64.00 ± 9.32</t>
  </si>
  <si>
    <t>63.57 ± 8.28</t>
  </si>
  <si>
    <t>60.86 ± 7.23</t>
  </si>
  <si>
    <t>2.13 ± 0.79</t>
  </si>
  <si>
    <t>1.92 ± 0.67</t>
  </si>
  <si>
    <t>2.4x2.4x2.4</t>
  </si>
  <si>
    <t>15 via ICA</t>
  </si>
  <si>
    <t>Elbow criteria</t>
  </si>
  <si>
    <t>State 1 being the most frequent, segregated weaker connections (48 %), followed by State 3 (24 %), State 2, integrated strong connections (14 %), and State 4 (14 %). State 1 was primarily characterized by intra-network connections within VIS, DMN, and ATTN, and internetwork connections for CB-VIS and SMN-ATTN. State 2 was characterized by intra-network connections within VIS and ATTN, and internetwork connections for SMN-AUD and SMN-ATTN. State 3 featured intra-network connections within VIS and DMN, and inter-network connections for SMN-AUD, SMN-ATTN, and DMN-ATTN. State 4 was characterized by intra-network connections within VIS, and internetwork connections for VIS-ATTN, SMN-VIS, and SMN-ATTN.</t>
  </si>
  <si>
    <t>No significant differences in the mean dwell time or  fractional windows were observed for State 2, State 3, or State 4 among the three groups..</t>
  </si>
  <si>
    <t>The number of state transitions was also not significantly different among the groups.</t>
  </si>
  <si>
    <t>However, patients with PD-PA exhibited a longer mean dwell time in State 1 compared to those with PD-NPA and HCs (PD-PA: 93.78 ± 83.54; PD-NPA: 41.44 ± 30.21; HC: 43.30 ± 47.35; P &lt; 0.0125, Bonferroni's multiple comparison correction)</t>
  </si>
  <si>
    <t>Partial correlation analysis indicated that the mean dwell time in State 1 was positively correlated with AS scores in patients with PD-PA (r = 0.457, P = 0.009)</t>
  </si>
  <si>
    <t>PD with PA stays longer in state 1 (segregated) compared to wihout PA and HC. Spending more time ins segregated state (1) is related to higher apathy score</t>
  </si>
  <si>
    <t>The analysis revealed decreased FC within the DMN in patients with PD-PA compared to patients with PD-NPA (P &lt; 0.005, Fig. 6). Specifically, FC was diminished between IC4 (left precuneus) and IC22 (left superior frontal gyrus medial, SFGmed).</t>
  </si>
  <si>
    <t>Not measured</t>
  </si>
  <si>
    <t>1x0.9x0.9</t>
  </si>
  <si>
    <t>ICA-AROMA</t>
  </si>
  <si>
    <t>225 via Brainnetome atlas, reduced to 196 areas after removing areas that are not well represented across participants</t>
  </si>
  <si>
    <t>A regression analysis with executive tests as dependent variable showed a positive correlation with DGM-FPN dynamic FC and a negative correlation with DAN-VAN dynamic FC. Both interactions showed significantly higher dynamic connectivity than the null models</t>
  </si>
  <si>
    <t>Not much significant finding, only that some connections that have been found, in static FC and cross-sectional analysis, correlated with clinical motor or non motor measures were further evaluated based on the dynamic FC</t>
  </si>
  <si>
    <t>In longitudinal analysis, only connections showing effects of static connectivity were also explored using dynamic connectivity, thus only RSN interactions concerning the DAN were correlated with motor perseveration.</t>
  </si>
  <si>
    <t>65.320 ± 8.385</t>
  </si>
  <si>
    <t>65.240 ± 6.796</t>
  </si>
  <si>
    <t>63.880 ± 8.212</t>
  </si>
  <si>
    <t>2.600 ± 0.791</t>
  </si>
  <si>
    <t>2.460 ± 0.721</t>
  </si>
  <si>
    <t>3.4x3.4x3.4</t>
  </si>
  <si>
    <t>30 via AAL3, 15 each hemisphere</t>
  </si>
  <si>
    <t>Seed-based FC analysis was performed for each window, and the means and standard deviations of the correlation maps across time windows were calculated for each subject (19, 31). Dynamic FC was determined by the standard deviation of the correlation maps. Higher dynamic FC variability was reflected by a larger standard deviation, which indicated greater fluctuations of FC strength.</t>
  </si>
  <si>
    <t>The ANOVA revealed significant inter-group differences in dynamic FC between the left IL nuclei and right IPL (cluster size = 21 voxels, peak MNI coordinate x/y/z = 48/−42/51, peak F = 11.290), between the left MGN and left postcentral gyrus (PCG, cluster size = 15 voxels, peak MNI coordinate x/y/z = −57/−24/30, peak F = 11.277), between the left PuA nuclei and left inferior frontal gyrus (IFG, cluster size = 18 voxels, peak MNI coordinate x/y/z = −48/24/6, peak F = 15.315), and between the right VL nuclei and left paracentral lobule (PCL, cluster size = 22 voxels, peak MNI coordinate x/y/z = −9/−30/72, peak F = 16.583; p &lt; 0.05, cluster-level FWE corrected)</t>
  </si>
  <si>
    <t>Post-hoc analyses revealed that PD-FOG showed higher dynamic FC between the left IL nuclei and right IPL and between the left MGN and left PCG than that of the PD-NFOG and HC. PD-FOG and PD-NFOG patients exhibited higher dynamic FC between the left PuA nuclei and left IFG. However, PD-NFOG patients showed higher dynamic FC between the  right VL nuclei and left PCL relative to that of the PD-FOG and HC</t>
  </si>
  <si>
    <t>In PD-FOG, dynamic FC between the left IL nuclei and right IPL was positively correlated with the NFOGQ score (r = 0.414, p = 0.040)</t>
  </si>
  <si>
    <t>Robustness by different window size</t>
  </si>
  <si>
    <t>Found various areas that exhibit different dFC (greater of lower fluctuations) between groups, also found that dynamic FC between the left IL nuclei and right IPL was positively correlated with the NFOGQ score</t>
  </si>
  <si>
    <t>ON and OFF states</t>
  </si>
  <si>
    <t>71 ± 5</t>
  </si>
  <si>
    <t>70 ± 6</t>
  </si>
  <si>
    <t>https://doi.org/10.5281/zenodo.14567445</t>
  </si>
  <si>
    <t>Modified Sternberg working memory task</t>
  </si>
  <si>
    <t>2.97x2.97x3</t>
  </si>
  <si>
    <t>FWHM = 3</t>
  </si>
  <si>
    <t>11 via brainnetome atlas</t>
  </si>
  <si>
    <t>High: 0.008Hz</t>
  </si>
  <si>
    <t>Bayesian switching dynamical system model to identify states in time series, and then, to identify dynamic functional connections that distinguish groups, we converted covariance matrices derived from the BSDS model to Fisher’s-transformed-Pearson’s correlation matrices per brain state per subject. The resulting correlation values were then z-transformed, representing subject-state-wise functional connection strength.</t>
  </si>
  <si>
    <t>Used BSDS model trained on the HC as reference, implemented the model to PD to investigate how brain state dynaics in PD deviate from HC</t>
  </si>
  <si>
    <t>For the time series states, the msaures are occipancy rate and state switching probability. For dynamic FC, just measure the functional connection strength and compare between groups</t>
  </si>
  <si>
    <t>Finding on states of time sries: the posterior probability of State 1 was highest among brain states during the encoding phase in every task condition and then gradually diminished during subsequent phases in PD and HC groups. In contrast, the posterior probability of State 4 increased during the maintenance phase and peaked in the retrieval phase. These results suggest that State 1 is specifically associated with stimulus encoding and State 4 is associated with maintaining and retrieving information. Notably, we observed load-dependent gradual increase of the posterior probability of State 4 during the maintenance and retrieval phases, suggesting that State 4 is modulated by cognitive load. Interestingly, the BSDS-derived state transition matrix further revealed that transition between State 1 and State 4 does not occur directly, but rather occurs by passing through State 2 and 3, respectively, in HL and DL conditions in all three groups (Fig. 3E and Supplementary Fig. 4). These results suggest that States 2 and 3, respectively, serve as intermediary transient states facilitating the transition from State 1 to State 4, the dominant states associated with the memory encoding and maintenance-retrieval phases of the Sternberg working memory task</t>
  </si>
  <si>
    <t>PD-OFF had a lower occupancy rate of State 1 compared to HCs. Result for post-hoc analysis); no significant main effects or group x load interactions were observed in the four other brain states</t>
  </si>
  <si>
    <t>Similarly, during the maintenance and retrieval phases, there was a significant group effect such that PD-OFF had a lower occupancy rate of State 4</t>
  </si>
  <si>
    <t>PD-OFF had a higher occupancy rate of State 2 across all the task phases compared to PD-ON</t>
  </si>
  <si>
    <t>dominance of State 1 was significantly lower in PD-OFF compared to HC</t>
  </si>
  <si>
    <t>In maintenance and retrieval phases, dominance of State 4 was significantly lower in PD-OFF than HC in HL</t>
  </si>
  <si>
    <t>brain state dynamics in PD are aberrant, revealing weaker engagement of phaseappropriate dominant states during distinct task stages. Notably, these results identified State 1 and State 4, the dominant states in the encoding and maintenance/retrieval, respectively, as being dysfunctional in PD-OFF.</t>
  </si>
  <si>
    <t>New method using BSDS not sliding window to identify time series states and then dynamic FC</t>
  </si>
  <si>
    <t>Permutation testing revealed a significant CCA component linking changes in occupancy rate to changes in task performance in DL task condition. These results underscore that dopaminergic medication ameliorates the specific dysfunction in States 1 and 4 in PD, the dominant states responsible for encoding and maintenance/retrieval, respectively.</t>
  </si>
  <si>
    <t>This study uses task paradigm, therefore, different conditions can be applied: low load, high load, distractor load. The BSDS method is used to identify states on the time series during this task. This way, the states can also be interpreted based on the design task. Then, the states can be used to distinuish ON and OFF medication to investigate the effect of medication on how the changes relate to cognitive performance</t>
  </si>
  <si>
    <t>Study protocols</t>
  </si>
  <si>
    <t>Study protocol</t>
  </si>
  <si>
    <t>Prot</t>
  </si>
  <si>
    <t>Resting and task (attention network test)</t>
  </si>
  <si>
    <t>Restign data: FWHM = 3, task data: FWHM = 4</t>
  </si>
  <si>
    <t>Task data: 6p + WM-CSF</t>
  </si>
  <si>
    <t>Task data: High</t>
  </si>
  <si>
    <t>ICA</t>
  </si>
  <si>
    <t>283 for resting data and 132 for task data</t>
  </si>
  <si>
    <t>Sliding window and factor analysis using P-technique</t>
  </si>
  <si>
    <t>4 factors for each network</t>
  </si>
  <si>
    <t>Factor scores: One can observe that there is a relationship between the mean correlation and the factor score, but the latter is a more direct measurement of the coupling. During a scan, these correlations may be more tightly coupled, yielding a high factor score (first red circle) or more loosely coupled, yielding a lower factor score (second red circle)</t>
  </si>
  <si>
    <t>The DAN is split into (1) a posterior factor that interconnects the left and right anterior and posterior IPS, (2) an anterior/ posterior factor which interconnects the left and right FEF and posterior IPS, (3) an anterior factor interconnecting the left FEF with the right anterior IPS, and (4) a symmetric and weaker anterior factor interconnecting the right FEF with the left anterior IPS. The FPTC is split into (1) a symmetric anterior/posterior factor, (2) a factor connecting the right frontal to other nodes, (3) a factor connecting the left frontal to other nodes, and (4) a factor connecting the left dorsal lateral prefrontal cortex (dlPFC) to the IPS. The  DMN is subdivided into (1) a factor connecting the left lateral temporal lobe to the PCC, medial prefrontal cortex (mPFC), and left and right angular gyrus; (2) a symmetric right opposite with weaker connectivity to the mPFC; (3) an anterior factor connecting the mPFC with the PCC and left and right angular gyrus; and (4) a posterior factor connecting the PCC and left and right angular gyrus.</t>
  </si>
  <si>
    <t>Dynamics of resting-state connectivity predict alerting and orienting response latency effects</t>
  </si>
  <si>
    <t>Dynamics of task connectivity predict alerting, but not orienting, response latency effects</t>
  </si>
  <si>
    <t>Also new approach of using factor analysis to identify factors for each network. The interpretation is on the factors, the higher the values of the factors, the more coplued the network is</t>
  </si>
  <si>
    <t>Not really focused on PD, but use PD as a use case to show that dynamic connectivity at rest predicts attention task performance</t>
  </si>
  <si>
    <t>Sliding window and k mean</t>
  </si>
  <si>
    <t>72 via ICA</t>
  </si>
  <si>
    <t>Dwell time, number of transitions</t>
  </si>
  <si>
    <t>Leave one out cross validation</t>
  </si>
  <si>
    <t>Unlike using predefined one value for the window size, it used time-dependent window size but also tried using fixed window sizes</t>
  </si>
  <si>
    <t>NC subjects spend significantly more time in state II, which has stronger connections, both between and within networks, whereas PD patients tend to stay longer in the more weakly connected functional states I and III.</t>
  </si>
  <si>
    <t>3 states, state 2 has stronger connections (more integrated), states 1 and 3 have weaker connections, segregated</t>
  </si>
  <si>
    <t>HC spend more time in integrated states compared to PD, and less time in segregated state compared to PD. Allso, HC has higher number of transition between states</t>
  </si>
  <si>
    <t>a significant reduced frequency-of-state alternation (P 5 .006) is found in the PD group</t>
  </si>
  <si>
    <t>time-dependent window size computed from Intrinsic Mode Functions and obtained using Eigen Mode Decomposition (97.75 s 6 41.36 s)), also tried with fixes window sizes: 30, 60, 120</t>
  </si>
  <si>
    <t>3.3x3.3x3.4</t>
  </si>
  <si>
    <t>Band: 0.008 - 0.1Hz</t>
  </si>
  <si>
    <t>20 via ICA</t>
  </si>
  <si>
    <t>dominant-co-activation pattern and k mean</t>
  </si>
  <si>
    <t>Significant (p &lt; .05, Bonferroni corrected) decreases in switching probabilities were observed in the ECN (p 1⁄4 .05, effect size d 1⁄4 1.04), MTN (p 1⁄4 1.9 10 4, d 1⁄4 1.77) and STh (p 1⁄4 2.7 10 5, d 1⁄4 2.01) networks in the PD group when compared to NC group (Fig. 8 and Table 7). There were no significant differences found in the other networks. The DMN, SMN, and STR networks did exhibit expected decreasing trends in switching probability in PD compared to controls, however, with an effect size (d) of 0.79 for the DMN, 0.62 for the SMN, and 0.89 for the STR (Table 6). Furthermore, a relatively higher median of switching probability in the FPN was observed in the PD group (Fig. 8) but with a very small effect size (d 1⁄4 0.05, Table 7). Overall, reduced switching probabilities in the PD group compared to the NC group reflects overall reduced dynamics in PD networks as hypothesized.</t>
  </si>
  <si>
    <t>A significant negative relationship was observed between the switching probability of the SMN d-CAPs and the UPDRS-III motor score of each PD subject</t>
  </si>
  <si>
    <t>Lower switching or number of transittion in PD comapred to HC. Also, higher switching, better motor score</t>
  </si>
  <si>
    <t>important paper proposing aanother approach to perform dynamic analysis on fMRI using modified co-activation pattern method. we have proposed a novel group CAP analysis method to investigate temporal dynamics of specific resting-state networks. Our data-driven method computes less spatially overlapping d-CAPs for each group.</t>
  </si>
  <si>
    <t>4 d-CAPs</t>
  </si>
  <si>
    <t>1. Different states were found, regardless of the number, one state will be more integrated state (least frequent), one state will be more segregated (most frequent), one state is domiunated by CEN and DMN, andother state is dominated by VIS and SMN, aslo DMN. These 2 last states are in between not least or most frequent, involving DMN and other networks such as SEN, VIS, and SMN
2. Limitations include small sample size and short time scan (minimal 10 minutes for DFC, check https://doi.org/10.1016/j. neuroimage.2015.11.055), also on disease duration not taken into account
3. There are still some contradictive findings related to PD especially in motor performance,(e.g.,  althoutgh most studies found that higher teime spent in segregated state contribute to worse motor performance, wlhtough few found the opposite)
4. Number of transition is related to better motor performance in general
5. Mostly used measures are dwell time, fractional window, and number of transition, graph measures not yet widely used
6. Non-motor correlate, such as cognitive performance and depression, is found generally to be retalted with state dominated by CEN and DMN
7. Some studies list head motion (due to OFF state) impact as limitation although preprocessing steps have taken that into account
8. Most studies interpret the results in network level, where areas are identified using ICA
9. Postive correaltion between VIS and other higher order netwoek such as DMN, CEN, and FPN related to poorer motor performance
10. The pipeline of the analysis is similar across studies, including the methods: fMRI data, spatial proprocessing, ICA, noise clearning, k mean to identify states, quantify measures, association analysis
11. Method wise, sliding window and k mean is most popular wirh different window length and shift depending on TR, elbow method was used to identify the optimal solution of k mean
12. Most papers only consider the measures of the states such as dwell time, fractional window, and the number of transition. Few papers gows beyond to graph measures, and even by considering the sequences of the states
13. in terms of preprocessing specifically for confound removal, some studies perfromed before ICA, or after ICA, or both before and after ICA
14. Robustness check was mostly performed on different window length, different atlas size, different thereshod for graph measures
15. Aside from performing clustering on dFC to find state, another way to do the analysis is to compute the temporal variability of the nodes and the within and between connection strength
16. General problem of using dynamic analysis to identify states, either from the time series or FC, is the valication and interpretation of the states; no concensus on most suitable biophysically realistic model to validate the states
17. k means is not enough individual, pooling everything, need approaches that take individdual differences more into account
18. Group the papers into HC vs PD, progression, and medication
19. Check the group difference findings and the motor or non motor correlated. There may be proof for compensation. For example, a connection may show differences between PD and HC, however, the strngeth of this connection is not correpated with motor or non motor score
20. Most using k mean clysrtering, which is linear. Future studies may use kernel k mean or hierarchiocal clustering to capture the nonlinear states</t>
  </si>
  <si>
    <t>Longitudinal (On and Off medication)</t>
  </si>
  <si>
    <t>9 ROIs based on Talairach and Tournoux for each hemisphere</t>
  </si>
  <si>
    <t>Structural equation modeling (SEM) to calculate effective connectivity between regions during each task condition and for each subject, and multivariate autoregressive modeling (MAR) to calculate temporal dynamics</t>
  </si>
  <si>
    <t>PD comapred to HC showed decreased interhemispheric connectivity between bilateral M1, SMA, and cerebellum.</t>
  </si>
  <si>
    <t>After medication, In terms of effective connectivity, the PD subjects showed a decrease in connectivity from left PFC to right SMA, between left putamen and thalamus, and between bilateral cerebellum (Fig. 8A). They also had decreased temporal input from right cerebellum to right thalamus and left caudate, and from left globus pallidus to left M1</t>
  </si>
  <si>
    <t>Important paper of using SEM and MAR to do effective connectivity analysis</t>
  </si>
  <si>
    <t>Mostly showing the differences in terms of effective connectivity of various ROIs between PD ON and PD OFF, and also compared to HC</t>
  </si>
  <si>
    <t>Longitudinal (Baseline and 1-4 years follow-up)</t>
  </si>
  <si>
    <t>Band: 0.01-0.1Hz</t>
  </si>
  <si>
    <t>216: 200 crotical Schaefer 16 subcortical Tian</t>
  </si>
  <si>
    <t>To ascertain the optimal cluster count, three criteria were utilized: Calinski-Harabasz (CH), Davies-Bouldin (DB), and silhouette indices. The final optimal number of clusters was obtained by averaging the values obtained from the above three algorithms and rounding up. The optimal cluster number was determined by varying k from 2 to 10.</t>
  </si>
  <si>
    <t>For robustness check, used different atlas and method to perform dFC</t>
  </si>
  <si>
    <t>State I was characterized by sparse connectivity among brain regions, robust connections in specific between-networks (notably VN-DAN, SMN-DAN, SMN-VAN), and within networks like VN, SMN, and VAN. It manifested prominently, observed 9,881 times, and constituted 61.33% of all states (Figure 2A). In contrast, State II showcased broader, stronger inter-regional connections but was less recurrent, with 6,229 instances, representing 38.67% of all occurrences (Figure 2A). Notably, the prevalence of State I was statistically more significant than that of State II, with percentages of 61.33%±29.19% vs. 38.67%±29.19% (p&lt;0.01).</t>
  </si>
  <si>
    <t>The MDT for State I at timepoint II was significantly truncated compared to timepoint I (58.38±61.06 vs 39.93±44.02, p=0.004; FDR corrected; Figure 4B), implicating a reduction in dwell time for the sparse FC state as PD advanced</t>
  </si>
  <si>
    <t>the diminishing MDT in State I was conjoined with exacerbated motor function decline (r=0.63; p&lt;0.001; Figure 4D). This suggests that the deterioration in motor function is intertwined with a more pronounced decline in State I's MDT.</t>
  </si>
  <si>
    <t>Shorter dwell time in state 1 (segregated) is related to PD advancement. Also, lower stay in State 1 is related with worse motor performance</t>
  </si>
  <si>
    <t>Exclusion criteria based on motion</t>
  </si>
  <si>
    <t>50 - 85</t>
  </si>
  <si>
    <r>
      <t xml:space="preserve">64.8 </t>
    </r>
    <r>
      <rPr>
        <sz val="11"/>
        <color theme="1"/>
        <rFont val="Calibri"/>
        <family val="2"/>
      </rPr>
      <t>± 7.6</t>
    </r>
  </si>
  <si>
    <t xml:space="preserve">Not reported </t>
  </si>
  <si>
    <r>
      <t xml:space="preserve">63.3 </t>
    </r>
    <r>
      <rPr>
        <sz val="11"/>
        <color theme="1"/>
        <rFont val="Calibri"/>
        <family val="2"/>
      </rPr>
      <t>± 3.2</t>
    </r>
  </si>
  <si>
    <t>MDS-UPDRS Total: 44.7 ± 17.4</t>
  </si>
  <si>
    <r>
      <t xml:space="preserve">60.3 </t>
    </r>
    <r>
      <rPr>
        <sz val="11"/>
        <color theme="1"/>
        <rFont val="Calibri"/>
        <family val="2"/>
      </rPr>
      <t>± 7.4</t>
    </r>
  </si>
  <si>
    <r>
      <t xml:space="preserve">59.43 </t>
    </r>
    <r>
      <rPr>
        <sz val="11"/>
        <color theme="1"/>
        <rFont val="Calibri"/>
        <family val="2"/>
      </rPr>
      <t>± 4.71</t>
    </r>
  </si>
  <si>
    <t>DBS: 54.3 ± 16.2</t>
  </si>
  <si>
    <t>DBS: 32.9 ± 10.9</t>
  </si>
  <si>
    <t xml:space="preserve"> 16.67 ± 9.16</t>
  </si>
  <si>
    <t xml:space="preserve"> 29.48 ± 16.62</t>
  </si>
  <si>
    <r>
      <t xml:space="preserve">2.76 </t>
    </r>
    <r>
      <rPr>
        <sz val="11"/>
        <color theme="1"/>
        <rFont val="Calibri"/>
        <family val="2"/>
      </rPr>
      <t>± 0.98</t>
    </r>
  </si>
  <si>
    <r>
      <t xml:space="preserve">61.83 </t>
    </r>
    <r>
      <rPr>
        <sz val="11"/>
        <color theme="1"/>
        <rFont val="Calibri"/>
        <family val="2"/>
      </rPr>
      <t>± 9.29</t>
    </r>
  </si>
  <si>
    <r>
      <t xml:space="preserve">60.53 </t>
    </r>
    <r>
      <rPr>
        <sz val="11"/>
        <color theme="1"/>
        <rFont val="Calibri"/>
        <family val="2"/>
      </rPr>
      <t>± 7.99</t>
    </r>
  </si>
  <si>
    <r>
      <t xml:space="preserve">59.33 </t>
    </r>
    <r>
      <rPr>
        <sz val="11"/>
        <color theme="1"/>
        <rFont val="Calibri"/>
        <family val="2"/>
      </rPr>
      <t>± 5.73</t>
    </r>
  </si>
  <si>
    <r>
      <t xml:space="preserve">59.79 </t>
    </r>
    <r>
      <rPr>
        <sz val="11"/>
        <color theme="1"/>
        <rFont val="Calibri"/>
        <family val="2"/>
      </rPr>
      <t>± 8.40</t>
    </r>
  </si>
  <si>
    <r>
      <t xml:space="preserve">63.42 </t>
    </r>
    <r>
      <rPr>
        <sz val="11"/>
        <color theme="1"/>
        <rFont val="Calibri"/>
        <family val="2"/>
      </rPr>
      <t>± 7.93</t>
    </r>
  </si>
  <si>
    <r>
      <t xml:space="preserve">64.4 </t>
    </r>
    <r>
      <rPr>
        <sz val="11"/>
        <color theme="1"/>
        <rFont val="Calibri"/>
        <family val="2"/>
      </rPr>
      <t>± 8.5</t>
    </r>
  </si>
  <si>
    <r>
      <t xml:space="preserve">60.9 </t>
    </r>
    <r>
      <rPr>
        <sz val="11"/>
        <color theme="1"/>
        <rFont val="Calibri"/>
        <family val="2"/>
      </rPr>
      <t>± 9.0</t>
    </r>
  </si>
  <si>
    <r>
      <t xml:space="preserve">64.35 </t>
    </r>
    <r>
      <rPr>
        <sz val="11"/>
        <color theme="1"/>
        <rFont val="Calibri"/>
        <family val="2"/>
      </rPr>
      <t>± 7.96</t>
    </r>
  </si>
  <si>
    <r>
      <t xml:space="preserve">67.35 </t>
    </r>
    <r>
      <rPr>
        <sz val="11"/>
        <color theme="1"/>
        <rFont val="Calibri"/>
        <family val="2"/>
      </rPr>
      <t>± 8</t>
    </r>
  </si>
  <si>
    <t xml:space="preserve"> 21.27 ± 9.27</t>
  </si>
  <si>
    <t>37.07 ± 14.50</t>
  </si>
  <si>
    <t>17.41 ± 12.84</t>
  </si>
  <si>
    <t>31.15 ± 15.86</t>
  </si>
  <si>
    <t>28.57 ± 8.97</t>
  </si>
  <si>
    <t>24.56 ± 8.28</t>
  </si>
  <si>
    <t>21.08 ± 8.31</t>
  </si>
  <si>
    <t>26 ± 19</t>
  </si>
  <si>
    <t>27 ± 20.5</t>
  </si>
  <si>
    <t>15.9 ± 9.83</t>
  </si>
  <si>
    <t>18.1 ± 9.22</t>
  </si>
  <si>
    <t>45.74 ± 15.07</t>
  </si>
  <si>
    <t>39.48 ± 14.10</t>
  </si>
  <si>
    <t xml:space="preserve"> 25.48 ± 8.77</t>
  </si>
  <si>
    <t>18.84 ± 10.42</t>
  </si>
  <si>
    <t>16.41 ± 8.53</t>
  </si>
  <si>
    <t>26.82 ± 15.04</t>
  </si>
  <si>
    <t>35.6 ± 16.71</t>
  </si>
  <si>
    <t>56.80 ± 20.56</t>
  </si>
  <si>
    <t>50.68 ± 16.39</t>
  </si>
  <si>
    <t xml:space="preserve"> 30.25 ± 7.68</t>
  </si>
  <si>
    <t>35.71 ± 7.83</t>
  </si>
  <si>
    <t>28.4 ± 11.5</t>
  </si>
  <si>
    <t>20.35 ± 9.4</t>
  </si>
  <si>
    <t>25.93 ± 7</t>
  </si>
  <si>
    <t>29.7 ± 9.5</t>
  </si>
  <si>
    <t>24.8 ± 10.9</t>
  </si>
  <si>
    <t>22.65 ± 11.08</t>
  </si>
  <si>
    <t>18.45 ± 6.91</t>
  </si>
  <si>
    <t>29.8 ± 22.6</t>
  </si>
  <si>
    <t>21.2 ± 11.3</t>
  </si>
  <si>
    <t>23.33 ± 7.75</t>
  </si>
  <si>
    <t>30.07 ± 9.50</t>
  </si>
  <si>
    <t>29.02 ± 10.66</t>
  </si>
  <si>
    <t>27.23 ± 13.65</t>
  </si>
  <si>
    <t>17.4 ± 10.1 (pre DBS)</t>
  </si>
  <si>
    <t xml:space="preserve"> 41.8 ± 11.3
27.1 ± 16.8</t>
  </si>
  <si>
    <t>23.7 ± 10.5</t>
  </si>
  <si>
    <t>28.1 ± 9.7</t>
  </si>
  <si>
    <t>15.50 ± 6.36</t>
  </si>
  <si>
    <t>22.00 ± 9.80</t>
  </si>
  <si>
    <t>22.51 ± 12.30</t>
  </si>
  <si>
    <t xml:space="preserve"> 26.1 ± 8.64</t>
  </si>
  <si>
    <t>33.320 ± 15.247</t>
  </si>
  <si>
    <t>32.960 ± 10.964</t>
  </si>
  <si>
    <t>23.78 ± 11.58</t>
  </si>
  <si>
    <t>36.37 ± 12.47</t>
  </si>
  <si>
    <t>23.56 ± 8.71</t>
  </si>
  <si>
    <t>Motor: 28 ± 9</t>
  </si>
  <si>
    <t>Motor: 15.05 ± 7.43</t>
  </si>
  <si>
    <t xml:space="preserve"> BL: 18.9 ± 9.2</t>
  </si>
  <si>
    <t>FU: 25.3 ± 11.1</t>
  </si>
  <si>
    <t xml:space="preserve">OFF: 2.52 (0.51), ON: 2.17 (0.38) </t>
  </si>
  <si>
    <t xml:space="preserve">OFF: 2.34 (0.56), ON: 1.99 (0.51) </t>
  </si>
  <si>
    <t>64.48 ± 13.10</t>
  </si>
  <si>
    <t>62.36 ± 8.29</t>
  </si>
  <si>
    <t>58.63 ± 9.58</t>
  </si>
  <si>
    <t>65.87 ± 11.37</t>
  </si>
  <si>
    <t>71.75 ± 6.62</t>
  </si>
  <si>
    <t>65.5 ± 7.2</t>
  </si>
  <si>
    <t>61.25 ± 8.2</t>
  </si>
  <si>
    <t>63.45 ± 8.1</t>
  </si>
  <si>
    <t>69.17 ± 4.48</t>
  </si>
  <si>
    <t>65.17 ± 8.31</t>
  </si>
  <si>
    <t>64.8 ± 8.6</t>
  </si>
  <si>
    <t>64.4 ± 7.8</t>
  </si>
  <si>
    <t>61.14± 7.13</t>
  </si>
  <si>
    <t>66.04 ± 10.05</t>
  </si>
  <si>
    <t>58.03 ± 11.54</t>
  </si>
  <si>
    <t>64 ± 8</t>
  </si>
  <si>
    <t>BL: 58.7 ± 10.3, FU: 61.5 ± 10.2</t>
  </si>
  <si>
    <t xml:space="preserve">PD Age range </t>
  </si>
  <si>
    <t>50 – 77</t>
  </si>
  <si>
    <t>54 – 77</t>
  </si>
  <si>
    <t>65.5 ± 6.27</t>
  </si>
  <si>
    <t>66.2 ± 5.62</t>
  </si>
  <si>
    <t>57.11 ± 11.63</t>
  </si>
  <si>
    <t>PD Severity UPDRS ON (Median[IQR])</t>
  </si>
  <si>
    <t>PD Severity UPDRS ON (Mean+SD)</t>
  </si>
  <si>
    <t>26.00 (18.00–28.25)</t>
  </si>
  <si>
    <t>29.00 (18.00–36.25)</t>
  </si>
  <si>
    <t>PD Severity UPDRS OFF (Mean+SD)</t>
  </si>
  <si>
    <t>PD Severity UPDRS OFF (Median[IQR])</t>
  </si>
  <si>
    <t>35.00 (21.75–42.25)</t>
  </si>
  <si>
    <t>42.50 (27.75–51.00)</t>
  </si>
  <si>
    <t>24.50 (16.25, 32.50)</t>
  </si>
  <si>
    <t>19.00 (14.00, 32.00)</t>
  </si>
  <si>
    <t>PD Severity (H&amp;Y) (mean+SD)</t>
  </si>
  <si>
    <t>2 (1.5,2)</t>
  </si>
  <si>
    <t>1.5 (1.5,2)</t>
  </si>
  <si>
    <t>2 (1)</t>
  </si>
  <si>
    <t>2 (1, 2)</t>
  </si>
  <si>
    <r>
      <t xml:space="preserve">1.37 </t>
    </r>
    <r>
      <rPr>
        <sz val="11"/>
        <color theme="1"/>
        <rFont val="Calibri"/>
        <family val="2"/>
      </rPr>
      <t>± 0.48</t>
    </r>
  </si>
  <si>
    <r>
      <t xml:space="preserve">1.7 </t>
    </r>
    <r>
      <rPr>
        <sz val="11"/>
        <color theme="1"/>
        <rFont val="Calibri"/>
        <family val="2"/>
      </rPr>
      <t>± 0.47</t>
    </r>
  </si>
  <si>
    <t>2 (1.5–2.5)</t>
  </si>
  <si>
    <t>2 (1.5–3)</t>
  </si>
  <si>
    <t>2.4 ± 0.6</t>
  </si>
  <si>
    <t>PD Severity (H&amp;Y) Median[IQR]</t>
  </si>
  <si>
    <t>PD Severity (H&amp;Y) Range</t>
  </si>
  <si>
    <t>1–3</t>
  </si>
  <si>
    <t>1.92 ± 0.20</t>
  </si>
  <si>
    <t>1.33 ± 0.45</t>
  </si>
  <si>
    <t>1–2.5</t>
  </si>
  <si>
    <t>61.29 ± 8.98</t>
  </si>
  <si>
    <r>
      <t xml:space="preserve">59.45 </t>
    </r>
    <r>
      <rPr>
        <sz val="11"/>
        <color theme="1"/>
        <rFont val="Calibri"/>
        <family val="2"/>
      </rPr>
      <t>± 4.76</t>
    </r>
  </si>
  <si>
    <r>
      <t xml:space="preserve">59.44 </t>
    </r>
    <r>
      <rPr>
        <sz val="11"/>
        <color theme="1"/>
        <rFont val="Calibri"/>
        <family val="2"/>
      </rPr>
      <t>± 8.40</t>
    </r>
  </si>
  <si>
    <r>
      <t xml:space="preserve">59.37 </t>
    </r>
    <r>
      <rPr>
        <sz val="11"/>
        <color theme="1"/>
        <rFont val="Calibri"/>
        <family val="2"/>
      </rPr>
      <t>± 8.54</t>
    </r>
  </si>
  <si>
    <r>
      <t xml:space="preserve">61.9 </t>
    </r>
    <r>
      <rPr>
        <sz val="11"/>
        <color theme="1"/>
        <rFont val="Calibri"/>
        <family val="2"/>
      </rPr>
      <t>± 5.6</t>
    </r>
  </si>
  <si>
    <t>64.5 ± 8.3</t>
  </si>
  <si>
    <t>63.5 ± 9.7</t>
  </si>
  <si>
    <t>68.31 ± 7.52</t>
  </si>
  <si>
    <t>66.1 ± 9.4</t>
  </si>
  <si>
    <t>62.68 ± 5.73</t>
  </si>
  <si>
    <t>64.4 ± 8.65</t>
  </si>
  <si>
    <t>61.90 ± 10.00</t>
  </si>
  <si>
    <t>64.25 ± 9.50</t>
  </si>
  <si>
    <t>58 ± 11</t>
  </si>
  <si>
    <t>64.25 ± 9.78</t>
  </si>
  <si>
    <t>65.1 ± 7.1</t>
  </si>
  <si>
    <t>66.3 ± 7.4</t>
  </si>
  <si>
    <t>DBS: STN-DBS; Stim: ON &amp; OFF; Dx: Idiopathic PD (MDS criteria)</t>
  </si>
  <si>
    <t>Med: 31 on; Washout: ≥6 h (mean 16 h) before UPDRS-III</t>
  </si>
  <si>
    <t>Tremor: Resting; Subtype: Tremor-dominant (EMG-based); Med: OFF</t>
  </si>
  <si>
    <t>Subtype: Tremor-dominant</t>
  </si>
  <si>
    <t>LID: Yes; Med: OFF &amp; ON</t>
  </si>
  <si>
    <t>LID: No; Med: OFF &amp; ON</t>
  </si>
  <si>
    <t>Depression: Yes</t>
  </si>
  <si>
    <t>Depression: No</t>
  </si>
  <si>
    <t>RBD: Yes</t>
  </si>
  <si>
    <t>RBD: No</t>
  </si>
  <si>
    <t>EDS: Yes</t>
  </si>
  <si>
    <t>EDS: No</t>
  </si>
  <si>
    <t>Timepoint: Baseline</t>
  </si>
  <si>
    <t>Timepoint: 3-year follow-up</t>
  </si>
  <si>
    <t>FOG: Yes</t>
  </si>
  <si>
    <t>FOG: No</t>
  </si>
  <si>
    <t>Subtype: Non–tremor-dominant</t>
  </si>
  <si>
    <t>Cognition: Normal</t>
  </si>
  <si>
    <t>Cognition: MCI</t>
  </si>
  <si>
    <t>Cognition: Dementia</t>
  </si>
  <si>
    <t>PIGD: Yes</t>
  </si>
  <si>
    <t>PIGD: No</t>
  </si>
  <si>
    <t>Med: OFF &amp; ON</t>
  </si>
  <si>
    <t>DA response: Low</t>
  </si>
  <si>
    <t>DA response: High</t>
  </si>
  <si>
    <t>ICD: Yes</t>
  </si>
  <si>
    <t>ICD: No</t>
  </si>
  <si>
    <t>Cognition: No MCI</t>
  </si>
  <si>
    <t>Hallucination: Yes</t>
  </si>
  <si>
    <t>Hallucination: No</t>
  </si>
  <si>
    <t>Scan: Before &amp; After Levodopa</t>
  </si>
  <si>
    <t>Side dominance: Left</t>
  </si>
  <si>
    <t>Side dominance: Right</t>
  </si>
  <si>
    <t>DBS: Before &amp; After</t>
  </si>
  <si>
    <t>Subtype: Akinetic-rigid</t>
  </si>
  <si>
    <t>Not applicable</t>
  </si>
  <si>
    <t>Apathy: Yes (pure apathy)</t>
  </si>
  <si>
    <t>Apathy: No</t>
  </si>
  <si>
    <t>Imaging: No baseline fMRI; Data: fMRI &amp; neuropsych at Year 4 (TP1) + Year 7 (TP2); Design: Longitudinal; N=31 at follow-up</t>
  </si>
  <si>
    <t>Med order: ON/OFF not counterbalanced; OFF scheduling: patient convenience; Inter-scan interval: mean 17 days (SD 82); Scan order: OFF-first n=10; ON-first n=17</t>
  </si>
  <si>
    <t>Design: 2 sessions (Session 1 &amp; 2); Interval: 1–3 weeks; Intervention: None</t>
  </si>
  <si>
    <t>Stage: Early; Med: Never medicated</t>
  </si>
  <si>
    <t>Stage: Early; Status: Untreated</t>
  </si>
  <si>
    <t>Med washout: ≥12 h overnight; UPDRS-III OFF: 28 ± 9; Age–UPDRS corr: ns; Levodopa challenge: yes; Dose: 132 ± 29 mg levodopa/carbidopa; Post-med interval: ~1 h to peak; Sessions: PD OFF→ON (same tasks), Controls 1× only.</t>
  </si>
  <si>
    <t xml:space="preserve">Data Source Institution </t>
  </si>
  <si>
    <t>Shanghai Ruijin Hospital</t>
  </si>
  <si>
    <t xml:space="preserve">Public </t>
  </si>
  <si>
    <t>University of Cologne / Max Planck Institute for Metabolism Research</t>
  </si>
  <si>
    <t>Donders Institute for Brain, Cognition and Behaviour, Radboud University</t>
  </si>
  <si>
    <t>Nanjing Medical University</t>
  </si>
  <si>
    <t>VU University Medical Center, Amsterdam, Netherlands; OLVG Hospital, Amsterdam, Netherlands; Zaans Medical Center, Zaandam, Netherlands</t>
  </si>
  <si>
    <t>Beijing Tiantan Hospital, Capital Medical University</t>
  </si>
  <si>
    <t>Neurology Clinic Padua and San Camillo Hospital Venice</t>
  </si>
  <si>
    <t>NIH–NINDS, USA; North Sichuan Medical College, China</t>
  </si>
  <si>
    <t>IRCCS San Camillo Hospital, Venice, Italy; Parkinson Disease and Movement Disorders Unit, Neurology Clinic, University of Padua, Italy</t>
  </si>
  <si>
    <t>University Hospital Cologne, Department of Neurology, Germany; Forschungszentrum Jülich, Institute of Neuroscience and Medicine (INM-3, INM-4, INM-11), Germany; University Hospital Frankfurt, Goethe University, Germany; RWTH Aachen University, Germany; Massachusetts General Hospital, Harvard Medical School, USA</t>
  </si>
  <si>
    <t>Biodonostia Health Research Institute, San Sebastián, Spain; Hospital Donostia, Movement Disorders Unit, Spain; Basque Center on Cognition, Brain and Language (BCBL), San Sebastián, Spain; Clínica Universidad de Navarra, Pamplona, Spain; Sierrallana Hospital, Torrelavega, Spain; Valdecilla Biomedical Research Institute (IDIVAL), Santander, Spain; University of Navarra, Navarra, Spain; Centre for Addiction and Mental Health (CAMH), University of Toronto, Canada</t>
  </si>
  <si>
    <t>New York University (NYU), Grossman School of Medicine</t>
  </si>
  <si>
    <t>Department of Neurology at the Hospital of Galdakao and from the PD Biscay Association (ASPARBI)</t>
  </si>
  <si>
    <t>Dementia Research Centre, University College London</t>
  </si>
  <si>
    <t>Najing Medical University</t>
  </si>
  <si>
    <t>Guangdong General Hospital in Guangzhou</t>
  </si>
  <si>
    <t>Movement Disorders Clinic of the Xuanwu Hospital of Capital Medical University</t>
  </si>
  <si>
    <t>Department of Neurology of the Affiliated Hospital of Yangzhou University.</t>
  </si>
  <si>
    <t>Pacific Parkinson’s Research Center at the University of British Columbia (UBC)</t>
  </si>
  <si>
    <t>Uijin Hospital affiliated to Shanghai Jiao Tong University</t>
  </si>
  <si>
    <t>Affiliated Wuxi People's Hospital of Nanjing Medical University.</t>
  </si>
  <si>
    <t>Amsterdam UMC, location Vumc</t>
  </si>
  <si>
    <t>The First Affiliated Hospital of Anhui Medical University</t>
  </si>
  <si>
    <t>Alzheimer’s Disease Research Center at the Stanford University School of Medicine</t>
  </si>
  <si>
    <t>Thomas Jefferson University, Philadelphia, USA; UCL Institute of Neurology, London, UK; National Hospital for Neurology and Neurosurgery, London, UK</t>
  </si>
  <si>
    <t>University of Washington</t>
  </si>
  <si>
    <t>University of British Columbia, Vancouver, Canada</t>
  </si>
  <si>
    <t>Task: Subjects used a right-hand squeeze bulb to modulate a screen bar’s width, keeping it within a scrolling tunnel by maintaining 5–15% of individually measured MVC; &gt;2% deviation triggered visual “sparks.” The tunnel path was an unpredictable smooth trajectory (sum of two sinusoids, 10 &amp; 18 s).</t>
  </si>
  <si>
    <t>24 + WM-CSF +linear detrending</t>
  </si>
  <si>
    <t>6p + linear detrending</t>
  </si>
  <si>
    <t>12p + detrending (linear, quadratic, cubic) + despiking</t>
  </si>
  <si>
    <t>12p + scrubbing</t>
  </si>
  <si>
    <t>6p + detrending (linear, quadratic, cubic) + despiking</t>
  </si>
  <si>
    <t>6p + detrending + 3DDESPIKE</t>
  </si>
  <si>
    <t>Before ICA: detrending (linear) + 24p + WM-CSF; After ICA: detrending + despiking</t>
  </si>
  <si>
    <t>CompCor + 6p + WM-CSF + detrending (linear, quadratic, cubic) + 3DDESPIKE</t>
  </si>
  <si>
    <t>Detrending + 3DDESPIKE</t>
  </si>
  <si>
    <t>Detrending + despiking</t>
  </si>
  <si>
    <t>ICA-AROMA + 12p</t>
  </si>
  <si>
    <t>aCompCor + 6p + linear detrending</t>
  </si>
  <si>
    <t>CompCor + 6p + WM-CSF</t>
  </si>
  <si>
    <t>Detrending (linear, quadratic, cubic) + 3DDESPIKE</t>
  </si>
  <si>
    <t>24p + WM-CSF + detrending (linear, quadratic, cubic)</t>
  </si>
  <si>
    <t>24p + WM-CSF + linear detrending</t>
  </si>
  <si>
    <t>6p + WM-CSF</t>
  </si>
  <si>
    <t>6p + detrending (linear, quadratic, cubic) + 3DDESPIKE</t>
  </si>
  <si>
    <t>Any-frame FD &gt; 1.65 mm</t>
  </si>
  <si>
    <t>Any-frame FD &gt; 1 mm.</t>
  </si>
  <si>
    <t>Any-frame FD &gt; 2.2 mm.</t>
  </si>
  <si>
    <t>Max translation &gt; 3 mm or max rotation &gt; 3°.</t>
  </si>
  <si>
    <t>Mean FD &gt; 0.5 mm, or max translation &gt; 3 mm, or max rotation &gt; 3°.</t>
  </si>
  <si>
    <t>All participants &lt; 2 mm translation and &lt; 2° rotation.</t>
  </si>
  <si>
    <t>Time-point censoring at FD &gt; 1.5 mm (6 DOF); compliance reported</t>
  </si>
  <si>
    <t>Excessive motion-related image artifacts (qualitative QC removal).</t>
  </si>
  <si>
    <t>Max translation &gt; 3 mm or max rotation &gt; 3°; plus manual removal of poor-quality images (3 controls, 10 PD).</t>
  </si>
  <si>
    <t>Mean FD ≥ 0.2 mm (reported as “40.2 mm”; treated as 0.2 mm, likely OCR), or max displacement &gt; 1 voxel, or outlier frames ≥ 30% in ≥1 of the two runs.</t>
  </si>
  <si>
    <t>Compliance reported: no head movement &gt; 3 mm or rotation &gt; 3°.</t>
  </si>
  <si>
    <t>Head motion exceeding translation of 3 mm or angular rotation of 3° (any direction).</t>
  </si>
  <si>
    <t>Mean FD &gt; 0.5 mm (reported as “40.5 mm”; treated as 0.5 mm, likely OCR) or maximum displacement &gt; 1 mm (reported as “41 mm”; treated as 1 mm, likely OCR).</t>
  </si>
  <si>
    <t>Mean FD &gt; 0.5 mm.</t>
  </si>
  <si>
    <t>Mean FD &gt; 0.3 mm, or any-frame FD &gt; 5 mm, or outlier frames &gt; 30%.</t>
  </si>
  <si>
    <t>Compliance reported: all participants &lt; 2 mm translation and &lt; 2° rotation.</t>
  </si>
  <si>
    <t>Mean FD (Jenkinson) &gt; 0.2 mm; or max translation &gt; 2.5 mm; or max rotation &gt; 2.5°.</t>
  </si>
  <si>
    <t>Mean FD &gt; 0.3 mm; or max translation &gt; 3 mm; or max rotation &gt; 3° (explicitly x, y, or z).</t>
  </si>
  <si>
    <t>Compliance reported: all participants &lt; 2 mm translation and &lt; 2° rotation (paper says “&lt; 2 mm in any direction” for rotation; treated as a likely typo → 2°).</t>
  </si>
  <si>
    <t>Max translation &gt; 2 mm or max rotation &gt; 2°.</t>
  </si>
  <si>
    <t>Max rotation &gt; 2.5° or max translation &gt; 2.5 mm (any axis x–y–z).</t>
  </si>
  <si>
    <t>Removed due to motion artefacts: 6 participants (qualitative QC removal).</t>
  </si>
  <si>
    <t>Applied motion thresholds: translation 3 mm; rotation 3° (i.e., participants beyond these were removed).</t>
  </si>
  <si>
    <t>Max translation &gt; 3 mm.</t>
  </si>
  <si>
    <t>Mean FD &gt; 0.2 mm.</t>
  </si>
  <si>
    <t>WHOLE BRAIN</t>
  </si>
  <si>
    <t>Elbow and bayesian information criterion</t>
  </si>
  <si>
    <t>City distance method</t>
  </si>
  <si>
    <t>Varimax criterion</t>
  </si>
  <si>
    <t>Frequency of occurrence; mean dwell time; fractional occupancy; state-transition probability; dynamic FC variance between ROI pairs.</t>
  </si>
  <si>
    <t>Dwell time, fraction time, and number of transition</t>
  </si>
  <si>
    <t>Dwell time</t>
  </si>
  <si>
    <t>Dwell time, number of transition</t>
  </si>
  <si>
    <t>Network variation, averaged time periods defined as the duration of non zero values, switching ratio from zero to non zero states</t>
  </si>
  <si>
    <t>Temporal variability: nodal, intra, and inter-network variability</t>
  </si>
  <si>
    <t>Within- and between-RSN dynamic FC was calculated.</t>
  </si>
  <si>
    <t xml:space="preserve">Number of transition or switching probabilites, temporal fraction </t>
  </si>
  <si>
    <t>Greater presence of globally integrated states and faster shifts toward high interconnectivity are linked to better motor performance</t>
  </si>
  <si>
    <t>Integrative brain states relate to tremor; therapies may aim to attenuate excessive cerebral integration in pre-tremor PD.</t>
  </si>
  <si>
    <t>CB–SMN hyper-dFC may be compensatory in TDPD; persisting in sparse-connectivity states relates to greater tremor.</t>
  </si>
  <si>
    <t>Dyskinesia: weak CEN inhibition of motor loops plus over-excitation in VIS/SMN reflects altered dynamics</t>
  </si>
  <si>
    <t>Time-varying DMN–CEN disruptions and abnormal dynamic graph metrics may contribute to PD depression.</t>
  </si>
  <si>
    <t>DMN dynamics (dFC) are specifically linked to cognitive function in PD, not other symptoms.</t>
  </si>
  <si>
    <t>Weaker VIS–DMN, DMN–BG, and intra-DMN coupling in the most segregated state (State IV) may underlie probable RBD in PD.</t>
  </si>
  <si>
    <t>Strong within/between SMN–VIS connectivity characterizes EDS in PD and may be a pathophysiologic marker.</t>
  </si>
  <si>
    <t>PD-FU spends more time in hypo-coupling and less in positive-coupling states, paralleling worsening non-motor symptoms.</t>
  </si>
  <si>
    <t>Visuomotor network dynamics track the presence and severity of FOG in PD.</t>
  </si>
  <si>
    <t>Tremor severity links to longer State-I dwell and higher BG–vSMN connectivity in State IV.</t>
  </si>
  <si>
    <t>PD with major cognitive alterations: longer in sparse State I, fewer transitions, shorter time in integrated State II.</t>
  </si>
  <si>
    <t>PIGD-PD: reduced overall connectivity and processing; increased CB–DMN coupling suggests dynamic compensation.</t>
  </si>
  <si>
    <t>Dopamine depletion: reduced mean dwell time and occurrence of State II; levodopa partially normalizes these.</t>
  </si>
  <si>
    <t>Abnormal temporal patterns, greater segregation, variable topology, and reduced global integration relate to motor severity in PD.</t>
  </si>
  <si>
    <t>Treatment response associates with temporal dynamics of fronto-striatal connectivity.</t>
  </si>
  <si>
    <t>PD-ICD: heightened local limbic engagement → inefficient emotion/reward modulation.</t>
  </si>
  <si>
    <t>dFNC + sequential-pattern mining are promising for probing cognitive impairment mechanisms in PD.</t>
  </si>
  <si>
    <t>PD-MCI vs PD-NC: dynamic FC deterioration, reduced SM–CB coupling, and topological decline in SM network.</t>
  </si>
  <si>
    <t>PD-VH: more time in segregated state, fewer transitions, longer dwell in integrated state vs non-VH.</t>
  </si>
  <si>
    <t>FOG may reflect altered allocation of visuospatial and cognitive resources.</t>
  </si>
  <si>
    <t>L-dopa improves abnormal network dynamics/organization in PD.</t>
  </si>
  <si>
    <t>Cerebellar dynamic temporal features differ in PD vs HCs and vary with affected dominant side.</t>
  </si>
  <si>
    <t>Dynamic graph analysis isolates a hypoconnected state linked to clinical effects of STN-DBS.</t>
  </si>
  <si>
    <t>Connectivity-state properties differ across PD motor subtypes (SMN/DMN/VIS) and correlate with motor-deficit severity.</t>
  </si>
  <si>
    <t>Temporal variability of FC profiles detects aberrant dynamics associated with clinical deficits in PD.</t>
  </si>
  <si>
    <t>Apathy in PD: prolonged residence in low-connectivity states; DMN disconnection (precuneus–SFGmed).</t>
  </si>
  <si>
    <t>PD executive dysfunction: disrupted subcortical–frontoparietal–attention communication; attention networks also implicated in motor perseveration.</t>
  </si>
  <si>
    <t>PD-FOG: disrupted dFC between thalamic nuclei and associative cortices with larger temporal fluctuations; left IL thalamus–right IPL dFC relates to FOG severity.</t>
  </si>
  <si>
    <t>Inverted-U–shaped relation among medication dose, brain-state dynamics, and task performance; dopamine-induced dynamic changes track individual performance gains.</t>
  </si>
  <si>
    <t>Intrinsic-network time-varying correlation patterns show stable, functionally relevant structure.</t>
  </si>
  <si>
    <t>Early PD shows altered temporal behavior and reduced whole-brain dynamic range.</t>
  </si>
  <si>
    <t>Resting-state fMRI captures early-stage PD changes in network dynamics.</t>
  </si>
  <si>
    <t>With progression: whole-brain MDT in the sparse-FC state decreases and tracks motor decline; in VN–SN and LN–SN, MDT drops over time—LN–SN MDT loss correlates with cognitive decline, VN–SN MDT loss with motor deterioration—supporting dFC as a progression biomarker.</t>
  </si>
  <si>
    <t>Motor-region focus; DBS-induced transitions hard to interpret; limited temporal resolution (high TR)</t>
  </si>
  <si>
    <t>Methodological/scanner-parameter variability</t>
  </si>
  <si>
    <t>Limited temporal resolution; head-motion artifacts</t>
  </si>
  <si>
    <t>ON state only; small sample</t>
  </si>
  <si>
    <t>Small sample; single short scan (limited dFC); disease duration uncontrolled</t>
  </si>
  <si>
    <t>Small sample; disease duration uncontrolled; state mismatch (scan OFF vs test ON); head-motion artifacts</t>
  </si>
  <si>
    <t>Head-motion artifacts; many temporal derivatives applied</t>
  </si>
  <si>
    <t>Head-motion artifacts; small sample</t>
  </si>
  <si>
    <t>Small sample; short follow-up; no drug-naïve PD group</t>
  </si>
  <si>
    <t>Short scan; PD–HC age mismatch</t>
  </si>
  <si>
    <t>Small sample; OFF state—poor head-motion control</t>
  </si>
  <si>
    <t>ON state only; short scan; low field strength</t>
  </si>
  <si>
    <t>Small sample; head-motion artifacts</t>
  </si>
  <si>
    <t>ON state only; limited temporal resolution (high TR)</t>
  </si>
  <si>
    <t>ON state only; no standardized levodopa challenge</t>
  </si>
  <si>
    <t>Short scan; low TE; ON state only; domain unspecified</t>
  </si>
  <si>
    <t>Small sample; ON state only; linear model only</t>
  </si>
  <si>
    <t>Laboratory setting; no real-time FOG capture; cross-sectional design</t>
  </si>
  <si>
    <t>No placebo group; small sample; short window length; head-motion artifacts</t>
  </si>
  <si>
    <t>Cross-sectional design; small dataset; short scan</t>
  </si>
  <si>
    <t>ON state only; small sample; insufficient ICs covering basal ganglia</t>
  </si>
  <si>
    <t>ON state only; disease duration uncontrolled; small sample; cross-sectional design</t>
  </si>
  <si>
    <t>Methodological: parameter count estimation required</t>
  </si>
  <si>
    <t>PD heterogeneity → higher statistical variance</t>
  </si>
  <si>
    <t>Data-driven approach; basal ganglia not identified; small sample; cross-sectional design.</t>
  </si>
  <si>
    <t>Incomplete follow-up; ON state only; longitudinal analysis reused cross-sectional findings; small sample; unclear biological meaning of dFC.</t>
  </si>
  <si>
    <t>No causal inference; small sample; FOG severity not assessed via questionnaire.</t>
  </si>
  <si>
    <t>Bayesian model with ARD priors; no biophysically realistic validation model; inter-individual dopamine absorption variability; optimal dopamine for working memory may differ from other cognitive domains.</t>
  </si>
  <si>
    <t>Linear k-means used (hierarchical may be preferable); inherent interdependence among d-CAP count, temporal fraction, and switching probability due to group-specific d-CAP sets.</t>
  </si>
  <si>
    <t>No healthy controls; ON state only; small sample; PD heterogeneity not considered.</t>
  </si>
  <si>
    <t xml:space="preserve">Mapping category </t>
  </si>
  <si>
    <t>N (networks/areas)</t>
  </si>
  <si>
    <t>Labels (networks/areas)</t>
  </si>
  <si>
    <t>SMA; Precentral gyrus; Postcentral gyrus; Paracentral lobule; Motor thalamus; Cerebellar hemisphere; Cerebellar vermis; STN; GPe; GPi; Caudate; Putamen; key motor areas.</t>
  </si>
  <si>
    <t>AREAS</t>
  </si>
  <si>
    <t>NETWORKS</t>
  </si>
  <si>
    <t>BG; CB; SMN.</t>
  </si>
  <si>
    <t>BG; AUD; SMN; VIS; CEN; DMN; CB.</t>
  </si>
  <si>
    <t xml:space="preserve"> BG; AUD; VIS; SMN; CEN; DMN</t>
  </si>
  <si>
    <t>DMN; FPN.</t>
  </si>
  <si>
    <t>SMN; DMN; SAL; CB; CEN; AUD; VIS; BG.</t>
  </si>
  <si>
    <t>AUD; BG; CB; CEN; DMN; SMN; VIS.</t>
  </si>
  <si>
    <t>DMN; ATT; BG; VIS; SMN; AUD; FPN.</t>
  </si>
  <si>
    <t>BG; AUD; VIS; SMN; CEN; DMN; FPN-L; FPN-R; DAN; SAL. L/R FPN</t>
  </si>
  <si>
    <t>BG; DMN; SMN-d; SMN-v; FPN-L; FPN-R. d/v SMN, L/R FPN.</t>
  </si>
  <si>
    <t>BG; AUD; VIS; SMN; CEN; DMN; CB.</t>
  </si>
  <si>
    <t>BG; CB; SMN; DMN; CEN.</t>
  </si>
  <si>
    <t>CB; CON; FPN; SMN.</t>
  </si>
  <si>
    <t>SMN; MI; BG; CB. “motor initiation (MI)”.</t>
  </si>
  <si>
    <t>BG; AUD; SMN; VIS; CEN; DMN; CB. ECN noted to include LAN &amp; SAL.</t>
  </si>
  <si>
    <t xml:space="preserve">AUD; BG; CB; DMN; CEN; FPN; LAN; SAL; SMN; TH; VIS. </t>
  </si>
  <si>
    <t xml:space="preserve">SC; AUD; SMN; VIS; CEN; DMN; CB. </t>
  </si>
  <si>
    <t xml:space="preserve">VIS; DMN; SMN; BG; CEN; CB; AUD. </t>
  </si>
  <si>
    <t xml:space="preserve">DMN; SMN; CEN; VIS; AUD; CB; BG | VN→VIS, AUN→AUD, CN→CB, BGN→BG. </t>
  </si>
  <si>
    <t xml:space="preserve"> Cerebellar areas</t>
  </si>
  <si>
    <t xml:space="preserve">SAL; DMN; FPN; SMN; CB; VIS; LAN; AUD. Sa/Ce/Vi/La/Au. </t>
  </si>
  <si>
    <t>SMN; DMN; VIS; CEN; ATT; SAL; AUD; CB. ECN→CEN, ATN→ATT, SN→SAL, CER→CB.</t>
  </si>
  <si>
    <t>SMN; DMN; CON; FPN; SC; SAL; AUD; VIS; VAN; DAN; MEM; CB; UNCERTAIN.</t>
  </si>
  <si>
    <t xml:space="preserve">DMN; ATT; CEN; AUD; CB; VIS; SMN. </t>
  </si>
  <si>
    <t xml:space="preserve">DAN; DMN; FPN; SMN; SC; VAN; VIS | DGM→SC (subcortical). </t>
  </si>
  <si>
    <t xml:space="preserve">AV; LP; VA; VL; VPL; IL; MD-mc; MD-pc; LGN; MGN; Pulv-Inf; Pulv-Med; PuA; Pulv-Lat. </t>
  </si>
  <si>
    <t xml:space="preserve">lPPC; rPPC; lDLPFC; rDLPFC; DMPFC-bilat; lAI; rAI; lCaudate; rCaudate; lThalamus; rThalamus;  DMPFC counted once (bilateral). </t>
  </si>
  <si>
    <t xml:space="preserve">DMN; DAN; FPN. FPTC→FPN. </t>
  </si>
  <si>
    <t xml:space="preserve">SC; AUD; SMN; VIS; CEN; DMN; MTN; CB. CCN→CEN. </t>
  </si>
  <si>
    <t>DMN; FPN; SMN; CEN; MTN; STN; STR. Seed-based subcortical nets.</t>
  </si>
  <si>
    <t xml:space="preserve">Caudate (L/R); Putamen (L/R); Globus pallidus (L/R); Thalamus (L/R); Cerebellum (L/R); M1 (L/R); SMA (L/R); ACC (L/R); PFC (L/R).  9 per hemisphere. </t>
  </si>
  <si>
    <t>VIS; SMN; DAN; VAN; LIM; FPN; DMN; SC. VN→VIS, FTN→FPN.</t>
  </si>
  <si>
    <t>Modularity (segregation) and between module connections (integration), applied to FC time series</t>
  </si>
  <si>
    <t xml:space="preserve"> However, worse motor performance is related to more time spent in integrated state. </t>
  </si>
  <si>
    <t>Tremor-dominant</t>
  </si>
  <si>
    <t>REM Sleep Behavior Disorder</t>
  </si>
  <si>
    <t>Freezing of Gait</t>
  </si>
  <si>
    <t>Impulse Control Disorder</t>
  </si>
  <si>
    <t>Hallucination</t>
  </si>
  <si>
    <t>DBS Stimulation</t>
  </si>
  <si>
    <t>Akinetic-rigid</t>
  </si>
  <si>
    <t>Apathy</t>
  </si>
  <si>
    <t>Gordon cortical; Harvard-Oxford subcortical; SUIT cerebellar</t>
  </si>
  <si>
    <t>Power</t>
  </si>
  <si>
    <t>Dosenbach</t>
  </si>
  <si>
    <t>Schaefer200 cortical; Tian subcortical</t>
  </si>
  <si>
    <t>SUIT</t>
  </si>
  <si>
    <t>Freesurfer</t>
  </si>
  <si>
    <t>Shen; AAL</t>
  </si>
  <si>
    <t>Brainnetome</t>
  </si>
  <si>
    <t>AAL</t>
  </si>
  <si>
    <t>Talairach and Tournoux</t>
  </si>
  <si>
    <t>ATLAS</t>
  </si>
  <si>
    <t>Bayesian switching dynamical system mode</t>
  </si>
  <si>
    <t>Dominant-co-activation pattern</t>
  </si>
  <si>
    <t>Structural Equation Modeling and Multivariate Auto Regressive</t>
  </si>
  <si>
    <t>Time-dependent window size</t>
  </si>
  <si>
    <t>K-mean</t>
  </si>
  <si>
    <t>2; 4</t>
  </si>
  <si>
    <t>Factor analysis</t>
  </si>
  <si>
    <t>Silhoutte</t>
  </si>
  <si>
    <t>Gap statistic; Silhouette</t>
  </si>
  <si>
    <t>Elbow; Silhoutte</t>
  </si>
  <si>
    <t>Elbow; bayesian information criterion</t>
  </si>
  <si>
    <t>Cartographic profile</t>
  </si>
  <si>
    <t>Calinski–Harabasz and Davies–Bouldin indices; Silhoutte</t>
  </si>
  <si>
    <t>Varimax</t>
  </si>
  <si>
    <t>Calinski-Harabasz index; Davies-Bouldin index; Silhouette</t>
  </si>
  <si>
    <t>Temporal variability</t>
  </si>
  <si>
    <t>Network variability</t>
  </si>
  <si>
    <t>Network strength</t>
  </si>
  <si>
    <t>4. Results</t>
  </si>
  <si>
    <t>Limitations</t>
  </si>
  <si>
    <t>Motor-region focus; DBS-induced transitions hard to interpret; Limited temporal resolution</t>
  </si>
  <si>
    <t>Limited temporal resolution; Head-motion artifacts</t>
  </si>
  <si>
    <t>ON state only; Small sample</t>
  </si>
  <si>
    <t>ON state only</t>
  </si>
  <si>
    <t>Small sample; Short scan; Disease duration uncontrolled</t>
  </si>
  <si>
    <t>Small sample; Disease duration uncontrolled; State mismatch (scan OFF vs test ON); Head-motion artifacts</t>
  </si>
  <si>
    <t>Head-motion artifacts; Many temporal derivatives applied</t>
  </si>
  <si>
    <t>Head-motion artifacts; Small sample</t>
  </si>
  <si>
    <t>Small sample; Short follow-up; No drug-naïve PD group</t>
  </si>
  <si>
    <t>Small sample; OFF state only; Poor head-motion control</t>
  </si>
  <si>
    <t>ON state only; Short scan; Low field strength</t>
  </si>
  <si>
    <t>Small sample; Head-motion artifacts</t>
  </si>
  <si>
    <t>ON state only; Limited temporal resolution</t>
  </si>
  <si>
    <t>ON state only; No standardized levodopa challenge</t>
  </si>
  <si>
    <t>Small sample</t>
  </si>
  <si>
    <t>Short scan; Low TE; ON state only; Domain unspecified</t>
  </si>
  <si>
    <t>Small sample; ON state only; Linear model only</t>
  </si>
  <si>
    <t>Laboratory setting; No real-time FOG capture; Cross-sectional design</t>
  </si>
  <si>
    <t>No placebo group; Small sample; Short window length; Head-motion artifacts</t>
  </si>
  <si>
    <t>Cross-sectional design; Small sample; Short scan</t>
  </si>
  <si>
    <t>ON state only; Small sample; Insufficient ICs covering basal ganglia</t>
  </si>
  <si>
    <t>ON state only; Disease duration uncontrolled; Small sample; Cross-sectional design</t>
  </si>
  <si>
    <t>PD heterogeneity</t>
  </si>
  <si>
    <t>Data-driven approach; Basal ganglia not identified; Small sample; Cross-sectional design</t>
  </si>
  <si>
    <t>Incomplete follow-up; ON state only; Longitudinal analysis reused cross-sectional findings; Small sample; Unclear biological meaning of dFC</t>
  </si>
  <si>
    <t>No causal inference; Small sample; FOG severity not assessed via questionnaire</t>
  </si>
  <si>
    <t>Bayesian model with ARD priors; No biophysically realistic validation model; Inter-individual dopamine absorption variability; Optimal dopamine for working memory may differ</t>
  </si>
  <si>
    <t>Linear k-means used; Interdependence of d-CAP measures</t>
  </si>
  <si>
    <t>No healthy controls; ON state only; Small sample; PD heterogeneity not considered</t>
  </si>
  <si>
    <t>Activation-based states: States 1-3 (Positive activation); State 4 (Mean activation); States 5-8 (Negative activation)</t>
  </si>
  <si>
    <t>Event-based states: Rest; Pre-tremor; Tremor</t>
  </si>
  <si>
    <t>Not applicable (Method does not define states)</t>
  </si>
  <si>
    <t>Binary states: Zero-connectivity state; Non-zero connectivity state</t>
  </si>
  <si>
    <t>Task-based states (BSDS model): State 1 (Encoding); State 4 (Maintenance/Retrieval); States 2 and 3 (Intermediary)</t>
  </si>
  <si>
    <t>Spending more time in integrated/connected states is related to higher motor performance.</t>
  </si>
  <si>
    <t>Higher integration is related to higher tremor amplitude.</t>
  </si>
  <si>
    <t>More time spent in an integrated state is related to lower motor performance (appearance of LID) and severer dyskinesia.</t>
  </si>
  <si>
    <t>Spending more time in a DMN-related state is associated with dementia.</t>
  </si>
  <si>
    <t>PD patients spend less time in an integrated state compared to HCs.</t>
  </si>
  <si>
    <t>PD with REM sleep behavior disorder (RBD) spend more time in a segregated state than those without RBD.</t>
  </si>
  <si>
    <t>Higher time spent in segregated states is related to worse motor and non-motor symptoms.</t>
  </si>
  <si>
    <t>PD patients show lower time in integrated states compared to HCs.</t>
  </si>
  <si>
    <t>PD patients spend less time in a state with stronger connections (integrated).</t>
  </si>
  <si>
    <t>PD patients with hallucinations spend less time in the integrated state.</t>
  </si>
  <si>
    <t>PD patients with hallucinations spend more time in the segregated state compared to those without hallucinations and HCs.</t>
  </si>
  <si>
    <t>Worse motor performance is related to more time spent in an integrated state.</t>
  </si>
  <si>
    <t>PD has higher time duration in zero-connectivity states.</t>
  </si>
  <si>
    <t>No significant dFC state findings reported. The study focused on evaluating static FC connections with dynamic measures.</t>
  </si>
  <si>
    <t>The study reports on areas with different dFC (fluctuations) between groups but does not define integrated/segregated states.</t>
  </si>
  <si>
    <t>Not a study about dFC states; it uses factor analysis to describe covarying connections.</t>
  </si>
  <si>
    <t>HCs spend more time in integrated states compared to PD.</t>
  </si>
  <si>
    <t>PD spend more time in segregated states compared to HCs.</t>
  </si>
  <si>
    <t>Shorter dwell time in the segregated state is related to PD advancement and worse motor performance.</t>
  </si>
  <si>
    <t>Transition_Findings</t>
  </si>
  <si>
    <t>Increased transition probabilities are related to improved motor performance scores.</t>
  </si>
  <si>
    <t>A high number of transitions is related to better motor performance.</t>
  </si>
  <si>
    <t>A higher number of transitions is related to better motor performance.</t>
  </si>
  <si>
    <t>A higher number of transitions is related to an absence of FOG and better motor performance.</t>
  </si>
  <si>
    <t>A higher number of transitions is related to worse motor performance.</t>
  </si>
  <si>
    <t>A higher number of transitions is observed in PD with MCI compared to HCs.</t>
  </si>
  <si>
    <t>The number of transitions is lower in PD with hallucinations compared to those without.</t>
  </si>
  <si>
    <t>No significant findings on temporal properties of states between before and after DBS.</t>
  </si>
  <si>
    <t>The study investigates transitions between task-related states.</t>
  </si>
  <si>
    <t>HCs have a higher number of transitions between states.</t>
  </si>
  <si>
    <t>PD show lower switching probability (fewer transitions) compared to HCs. Higher switching is related to better motor scores.</t>
  </si>
  <si>
    <t>Not Applicable</t>
  </si>
  <si>
    <t>PD has a lower number of switching events (transitions) compared to HCs.</t>
  </si>
  <si>
    <t>Integration_State_Findings</t>
  </si>
  <si>
    <t>Segregation_State_Findings</t>
  </si>
  <si>
    <t>State_Pattern_Conclusion</t>
  </si>
  <si>
    <t>Transition_Pattern_Conclusion</t>
  </si>
  <si>
    <t>Increased coverage in states with positive motor network activation is related to improved motor performance.</t>
  </si>
  <si>
    <t>Integration associated with better outcomes / Segregation with worse</t>
  </si>
  <si>
    <t>More transitions associated with better outcomes</t>
  </si>
  <si>
    <t>Integration associated with worse outcomes / Segregation with better</t>
  </si>
  <si>
    <t>PD is associated with spending more time in a segregated state.</t>
  </si>
  <si>
    <t>Neutral/Descriptive Finding</t>
  </si>
  <si>
    <t>Integrated states are associated with better motor performance.</t>
  </si>
  <si>
    <t>Mixed/Contradictory Findings</t>
  </si>
  <si>
    <t>PD patients show higher time in segregated states. Worse cognitive performance is associated with long time spent in the segregated state.</t>
  </si>
  <si>
    <t>HCs have a higher number of transitions. Transitions are positively correlated with cognitive performance.</t>
  </si>
  <si>
    <t>PIGD patients show reduced dwell time in the integrated state compared to non-PIGD. PD patients spend less time in integrated states than HCs.</t>
  </si>
  <si>
    <t>Higher time spent in the segregated state is related to higher PIGD scores (worse motor performance). PD patients spend more time in segregated states than HCs.</t>
  </si>
  <si>
    <t>The number of transitions is higher in non-PIGD than in PIGD patients. More transitions are related to better motor performance.</t>
  </si>
  <si>
    <t>HCs and PD-ON patients spend more time in a state with strong FPN-SMN connections compared to PD-OFF.</t>
  </si>
  <si>
    <t>The distinction between integrated/segregated states was not evident in the 3-state solution.</t>
  </si>
  <si>
    <t>PD patients spend more time in the integrated state (State II).</t>
  </si>
  <si>
    <t>More transitions associated with worse outcomes</t>
  </si>
  <si>
    <t>PD patients spend more time in a state with weaker connections (segregated).</t>
  </si>
  <si>
    <t>Spending more time in an intermediate state is related to worse motor performance.</t>
  </si>
  <si>
    <t>No clear group differences in temporal properties of states were found.</t>
  </si>
  <si>
    <t>PD patients (ON and OFF) show lower occurrence and dwell time in the integrated state compared to HCs.</t>
  </si>
  <si>
    <t>PD patients show higher occurrence in the segregated state. PD-OFF patients spend more time in this state than HCs and PD-ON patients.</t>
  </si>
  <si>
    <t>PD-ON patients have a higher number of transitions than PD-OFF patients.</t>
  </si>
  <si>
    <t>HCs spend less time in the segregated state than PD. Spending more time in this state is linked to worse sleep disturbance.</t>
  </si>
  <si>
    <t>A higher number of transitions is related to better performance.</t>
  </si>
  <si>
    <t>A greater presence of integrated states and more frequent state transitions are linked to better motor performance.</t>
  </si>
  <si>
    <t>Integrative brain states are related to tremor severity; therapies could aim to reduce excessive integration.</t>
  </si>
  <si>
    <t>Persisting in sparse-connectivity (segregated) states is related to greater tremor severity. Hyperconnectivity between the Cerebellar (CB) and Sensorimotor (SMN) networks may be compensatory.</t>
  </si>
  <si>
    <t>Dyskinesia in PD may be explained by weak inhibition of motor loops by the Cognitive Control Network (CEN) combined with over-excitation in VIS and SMN.</t>
  </si>
  <si>
    <t>Dynamic connectivity of the Default Mode Network (DMN) is specifically linked to cognitive function in PD.</t>
  </si>
  <si>
    <t>Strong connectivity within and between the Sensorimotor (SMN) and Visual (VIS) networks may be a pathophysiological marker for Excessive Daytime Sleepiness (EDS) in PD.</t>
  </si>
  <si>
    <t>Disease Progression</t>
  </si>
  <si>
    <t>The dynamics of visuomotor networks can track the presence and severity of Freezing of Gait (FOG) in PD.</t>
  </si>
  <si>
    <t>Tremor severity is linked to longer dwell time in the segregated state and higher connectivity between the Basal Ganglia (BG) and ventral Sensorimotor (vSMN) networks.</t>
  </si>
  <si>
    <t>Postural Instability and Gait Disorder (PIGD) is associated with reduced overall connectivity. Increased connectivity between the Cerebellum (CB) and DMN may be a dynamic compensatory mechanism.</t>
  </si>
  <si>
    <t>Dopamine depletion is linked to reduced dwell time and occurrence of an FPN-SMN connected state; Levodopa partially normalizes these dynamics.</t>
  </si>
  <si>
    <t>Response to dopaminergic treatment is associated with the temporal dynamics of fronto-striatal connectivity.</t>
  </si>
  <si>
    <t>A combination of dFC measures and sequential pattern mining shows promise for understanding cognitive impairment mechanisms in PD.</t>
  </si>
  <si>
    <t>Freezing of Gait (FOG) may reflect an altered allocation of visuospatial and cognitive resources.</t>
  </si>
  <si>
    <t>Levodopa improves abnormal network dynamics and organization in PD.</t>
  </si>
  <si>
    <t>Dynamic features of the cerebellum differ between PD and HCs and vary depending on the dominant side of motor symptoms.</t>
  </si>
  <si>
    <t>Dynamic graph analysis can isolate a hypo-connected state that is linked to the clinical effects of STN-DBS.</t>
  </si>
  <si>
    <t>dFC state properties differ across PD motor subtypes (Tremor-dominant vs. Akinetic-rigid) and correlate with motor-deficit severity.</t>
  </si>
  <si>
    <t>The temporal variability of functional connectivity profiles can detect aberrant dynamics that are associated with clinical deficits in PD.</t>
  </si>
  <si>
    <t>Apathy in PD is linked to prolonged residence in low-connectivity (segregated) states and disconnection within the DMN.</t>
  </si>
  <si>
    <t>Freezing of Gait (FOG) in PD is linked to disrupted dFC and larger temporal fluctuations between thalamic nuclei and associative cortices.</t>
  </si>
  <si>
    <t>Time-varying correlation patterns within intrinsic networks are stable and functionally relevant for predicting task performance.</t>
  </si>
  <si>
    <t>Altered temporal behavior and reduced whole-brain dynamic range are present even in early-stage PD.</t>
  </si>
  <si>
    <t>Resting-state fMRI can capture early-stage changes in network dynamics in PD.</t>
  </si>
  <si>
    <t>Levodopa helps normalize the disruption of effective communication between widespread brain areas that underlies difficulty with simultaneous movements.</t>
  </si>
  <si>
    <t>Study_Design</t>
  </si>
  <si>
    <t>Primary_Focus</t>
  </si>
  <si>
    <t>Focus_Specification</t>
  </si>
  <si>
    <t>Intervention Response</t>
  </si>
  <si>
    <t>General PD Characteristics</t>
  </si>
  <si>
    <t>General PD vs HC</t>
  </si>
  <si>
    <t>Motor Subtype</t>
  </si>
  <si>
    <t>Clinical Phenotype</t>
  </si>
  <si>
    <t>Levodopa-induced Dyskinesia</t>
  </si>
  <si>
    <t>Depression</t>
  </si>
  <si>
    <t>Excessive Daytime Sleepiness</t>
  </si>
  <si>
    <t>3-year follow-up</t>
  </si>
  <si>
    <t>Non-tremor-dominant</t>
  </si>
  <si>
    <t>Cognitive Impairment</t>
  </si>
  <si>
    <t>Postural Instability and Gait Disorder</t>
  </si>
  <si>
    <t>Dopaminergic Medication</t>
  </si>
  <si>
    <t>Levodopa Medication</t>
  </si>
  <si>
    <t>Motor Side Dominance</t>
  </si>
  <si>
    <t>Multi-year follow-up</t>
  </si>
  <si>
    <t>Early Stage PD (unmedicated)</t>
  </si>
  <si>
    <t>1-4 years follow-up</t>
  </si>
  <si>
    <t>N_sample_PD</t>
  </si>
  <si>
    <t>Med_Status_Scan</t>
  </si>
  <si>
    <t>N_HC</t>
  </si>
  <si>
    <t>Data_Source</t>
  </si>
  <si>
    <t>Label</t>
  </si>
  <si>
    <t>Authors</t>
  </si>
  <si>
    <t>Year</t>
  </si>
  <si>
    <t>Journal</t>
  </si>
  <si>
    <t>DOI</t>
  </si>
  <si>
    <t>TR_ms</t>
  </si>
  <si>
    <t>TE_ms</t>
  </si>
  <si>
    <t>Number_Volumes</t>
  </si>
  <si>
    <t>Length_Scan_Minutes</t>
  </si>
  <si>
    <t>Voxel_Size</t>
  </si>
  <si>
    <t>Field_Strength</t>
  </si>
  <si>
    <t>Spatial_Smoothing</t>
  </si>
  <si>
    <t>Brain_Mapping</t>
  </si>
  <si>
    <t>Number_Networks</t>
  </si>
  <si>
    <t>Number_Areas</t>
  </si>
  <si>
    <t>Parcellation_Methods</t>
  </si>
  <si>
    <t>dFC_Methods</t>
  </si>
  <si>
    <t>Window_Size_Seconds</t>
  </si>
  <si>
    <t>Window_Shift_Second</t>
  </si>
  <si>
    <t>Clustering_Methods</t>
  </si>
  <si>
    <t>Number_States</t>
  </si>
  <si>
    <t>Number_States_Criteria</t>
  </si>
  <si>
    <t>State_Features</t>
  </si>
  <si>
    <t>Graph_Measures</t>
  </si>
  <si>
    <t>Data_Availability</t>
  </si>
  <si>
    <t>Code_Availability</t>
  </si>
  <si>
    <t>25(11.5)</t>
  </si>
  <si>
    <t>23(17)</t>
  </si>
  <si>
    <t>Chu C; Liu S; He N; Zeng Z; Wang J; Zhang Z; Zeljic K; van der Stelt O; Sun B; Yan F; Liu C; Li D; Zhang C</t>
  </si>
  <si>
    <t>Asendorf AL; Theis H; Tittgemeyer M; Timmermann L; Fink GR; Drzezga A; Eggers C; Ruppert-Junck MC; Pedrosa DJ; Hoenig MC; van Eimeren T</t>
  </si>
  <si>
    <t>Dirkx MF; Shine JM; Helmich RC</t>
  </si>
  <si>
    <t>Shen B; Yao Q; Li W; Dong S; Zhang H; Zhao Y; Pan Y; Jiang X; Li D; Chen Y; Yan J; Zhang W; Zhu Q; Zhang D; Zhang L; Wu Y</t>
  </si>
  <si>
    <t>Si Q; Gan C; Zhang H; Cao X; Sun H; Wang M; Wang L; Yuan Y; Zhang K</t>
  </si>
  <si>
    <t>Xu J; Yu M; Wang H; Li Y; Li L; Ren J; Pan C; Liu W</t>
  </si>
  <si>
    <t>Engels; Gwenda; Vlaar; Annemarie; McCoy; Bronagh; Scherder; Erik; Douw; Linda</t>
  </si>
  <si>
    <t>Gan C; Ma K; Wang L; Si Q; Wang M; Yuan Y; Zhang K</t>
  </si>
  <si>
    <t>Tan; Zhiyi; Zeng; Qiaoling; Hu; Xuehan; Di; Duoduo; Chen; Lele; Lin; Zhijian; Cheng; Guanxun</t>
  </si>
  <si>
    <t>Cao Y; Si Q; Tong R; Zhang X; Li C; Mao S</t>
  </si>
  <si>
    <t>Su D; Ji L; Cui Y; Gan L; Ma H; Liu Z; Duan Y; Stoessl AJ; Zhou J; Wu T; Liu Y; Feng T</t>
  </si>
  <si>
    <t>Zhu J; Zeng Q; Shi Q; Li J; Dong S; Lai C; Cheng G</t>
  </si>
  <si>
    <t>Fiorenzato E; Strafella AP; Kim J; Schifano R; Weis L; Antonini A; Biundo R</t>
  </si>
  <si>
    <t>Shen B; Yao Q; Zhang Y; Jiang Y; Wang Y; Jiang X; Zhao Y; Zhang H; Dong S; Li D; Chen Y; Pan Y; Yan J; Han F; Li S; Zhu Q; Zhang D; Zhang L; Wu YC</t>
  </si>
  <si>
    <t>Chen L; Bedard P; Hallett M; Horovitz SG</t>
  </si>
  <si>
    <t>Kim J; Criaud M; Cho SS; Diez-Cirarda M; Mihaescu A; Coakeley S; Ghadery C; Valli M; Jacobs MF; Houle S; Strafella AP</t>
  </si>
  <si>
    <t>Hensel; Lukas; Seger; Aline; Farrher; Ezequiel; Bonkhoff; Anna K.; Shah N. Jon; Fink; Gereon R.; Grefkes; Christian; Sommerauer; Michael; Doppler; Christopher E. J.</t>
  </si>
  <si>
    <t>Navalpotro-Gomez; Irene; Kim; Jinhee; Paz-Alonso; Pedro M.; Delgado-Alvarado; Manuel; Quiroga-Varela; Ana; Jimenez-Urbieta; Haritz; Carreiras; Manuel; Strafella; Antonio P.; Cruz Rodriguez-Oroz; Maria</t>
  </si>
  <si>
    <t>Kemp AS; Eubank AJ; Younus Y; Galvin JE; Prior FW; Larson-Prior LJ</t>
  </si>
  <si>
    <t>Diez-Cirarda M; Strafella AP; Kim J; Pena J; Ojeda N; Cabrera-Zubizarreta A; Ibarretxe-Bilbao N</t>
  </si>
  <si>
    <t>Zarkali A; Luppi AI; Stamatakis EA; Reeves S; McColgan P; Leyland LA; Lees AJ; Weil RS</t>
  </si>
  <si>
    <t>Gan C; Ji M; Sun H; Cao X; Shi J; Wang L; Zhang H; Yuan Y; Zhang K</t>
  </si>
  <si>
    <t>Liu X; Zhang Y; Weng Y; Zhong M; Wang L; Gao Z; Hu H; Zhang Y; Huang B; Huang R</t>
  </si>
  <si>
    <t>Chen L; Wang J; Gao L; Sun J; Zhang D; Wu T</t>
  </si>
  <si>
    <t>Wu; Chengyuan; Matias; Caio; Foltynie; Thomas; Limousin; Patricia; Zrinzo; Ludvic; Akram; Harith</t>
  </si>
  <si>
    <t>Pan Y; Qu H; Zhao Y; Qin Z; Liu J; Wang W</t>
  </si>
  <si>
    <t>Liu A; Chen X; McKeown MJ; Wang ZJ</t>
  </si>
  <si>
    <t>Zhu; Hong; Huang; Juan; Deng; Lifu; He; Naying; Cheng; Lin; Shu; Pin; Yan; Fuhua; Tong; Shanbao; Sun; Junfeng; Ling; Huawei</t>
  </si>
  <si>
    <t>Zhi Y; Chen K; You Y; Ji Y; Cheng W; Ji W; Shi G; Fang X; Wang F; Chen K; Zhang L</t>
  </si>
  <si>
    <t>Boon LI; Hepp DH; Douw L; van Geenen N; Broeders TAA; Geurts JJG; Berendse HW; Schoonheim MM</t>
  </si>
  <si>
    <t>Wang S; Cai H; Cao Z; Li C; Wu T; Xu F; Qian Y; Chen X; Yu Y</t>
  </si>
  <si>
    <t>Lee B; Young CB; Cai W; Yuan R; Ryman S; Kim J; Yang L; Henderson VW; Poston KL; Menon V</t>
  </si>
  <si>
    <t>Madhyastha TM; Askren MK; Boord P; Grabowski TJ</t>
  </si>
  <si>
    <t>Cordes D; Zhuang X; Kaleem M; Sreenivasan K; Yang Z; Mishra V; Banks SJ; Bluett B; Cummings JL</t>
  </si>
  <si>
    <t>Zhuang; Xiaowei; Walsh; Ryan R.; Sreenivasan; Karthik; Yang; Zhengshi; Mishra; Virendra; Cordes; Dietmar</t>
  </si>
  <si>
    <t>Palmer SJ; Eigenraam L; Hoque T; McCaig RG; Troiano A; McKeown MJ</t>
  </si>
  <si>
    <t>Li; Zhibao; Chen; Wei; Zeng; Xiaoyu; Ni; Jun; Guo; Yuzhu; Zhang; Hua; Li; Yang; Ma; Yina; Meng; Fangang</t>
  </si>
  <si>
    <t>Brain: A Journal of Neurology</t>
  </si>
  <si>
    <t>Human Brain Mapping</t>
  </si>
  <si>
    <t>Movement Disorders</t>
  </si>
  <si>
    <t>Neurobiology of Disease</t>
  </si>
  <si>
    <t>CNS Neuroscience and Therapeutics</t>
  </si>
  <si>
    <t>Frontiers in Aging Neuroscience</t>
  </si>
  <si>
    <t>Brain Research</t>
  </si>
  <si>
    <t>Frontiers in Neuroscience</t>
  </si>
  <si>
    <t>Parkinsonism and Related Disorders</t>
  </si>
  <si>
    <t>NeuroImage: Clinical</t>
  </si>
  <si>
    <t>Communications Biology</t>
  </si>
  <si>
    <t>Progress in Neuro-Psychopharmacology and Biological Psychiatry</t>
  </si>
  <si>
    <t>Journal of Neuroscience Research</t>
  </si>
  <si>
    <t>Frontiers in Human Neuroscience</t>
  </si>
  <si>
    <t>Brain Research Bulletin</t>
  </si>
  <si>
    <t>IEEE Transactions on Bio-Medical Engineering</t>
  </si>
  <si>
    <t>Frontiers in Neurology</t>
  </si>
  <si>
    <t>Nature Communications</t>
  </si>
  <si>
    <t>Brain Connectivity</t>
  </si>
  <si>
    <t>Alzheimer's and Dementia</t>
  </si>
  <si>
    <t>NeuroImage</t>
  </si>
  <si>
    <t>Age_PD_Min</t>
  </si>
  <si>
    <t>Age_PD_Max</t>
  </si>
  <si>
    <t>Age_PD_Mean</t>
  </si>
  <si>
    <t>Age_PD_SD</t>
  </si>
  <si>
    <t>18.00-36.25</t>
  </si>
  <si>
    <t>21.75-42.25</t>
  </si>
  <si>
    <t>18.00-28.25</t>
  </si>
  <si>
    <t>27.75-51.00</t>
  </si>
  <si>
    <t>1.5-2.5</t>
  </si>
  <si>
    <t>1.5-3</t>
  </si>
  <si>
    <t>UPDRS_ON_Mean</t>
  </si>
  <si>
    <t>UPDRS_ON_SD</t>
  </si>
  <si>
    <t>UPDRS_ON_Median</t>
  </si>
  <si>
    <t>UPDRS_ON_IQR</t>
  </si>
  <si>
    <t>UPDRS_OFF_Mean</t>
  </si>
  <si>
    <t>UPDRS_OFF_SD</t>
  </si>
  <si>
    <t>UPDRS_OFF_Median</t>
  </si>
  <si>
    <t>UPDRS_OFF_IQR</t>
  </si>
  <si>
    <t>HnY_Mean</t>
  </si>
  <si>
    <t>HnY_SD</t>
  </si>
  <si>
    <t>HnY_Median</t>
  </si>
  <si>
    <t>HnY_IQR</t>
  </si>
  <si>
    <t>HnY_Min</t>
  </si>
  <si>
    <t>HnY_Max</t>
  </si>
  <si>
    <t>2.0-2.0</t>
  </si>
  <si>
    <t>1.0-2.0</t>
  </si>
  <si>
    <t>16.25-32.50</t>
  </si>
  <si>
    <t>14.00-32.00</t>
  </si>
  <si>
    <t>Age_HC_mean</t>
  </si>
  <si>
    <t>Age_HC_sd</t>
  </si>
  <si>
    <t>Data_Source_Institution</t>
  </si>
  <si>
    <t>University of Cologne; Max Planck Institute for Metabolism Research</t>
  </si>
  <si>
    <t>Donders Institute for Brain Cognition and Behaviour; Radboud University</t>
  </si>
  <si>
    <t>VU University Medical Center; OLVG Hospital; Zaans Medical Center</t>
  </si>
  <si>
    <t>Beijing Tiantan Hospital; Capital Medical University</t>
  </si>
  <si>
    <t>Neurology Clinic Padua; San Camillo Hospital Venice</t>
  </si>
  <si>
    <t>NIH–NINDS; North Sichuan Medical College</t>
  </si>
  <si>
    <t>IRCCS San Camillo Hospital; University of Padua</t>
  </si>
  <si>
    <t>University Hospital Cologne; Forschungszentrum Julich; University Hospital Frankfurt; RWTH Aachen University; Massachusetts General Hospital</t>
  </si>
  <si>
    <t>Biodonostia Health Research Institute; Hospital Donostia; Basque Center on Cognition Brain and Language (BCBL); Clinica Universidad de Navarra; Sierrallana Hospital; Valdecilla Biomedical Research Institute (IDIVAL); University of Navarra; Centre for Addiction and Mental Health (CAMH)</t>
  </si>
  <si>
    <t>New York University (NYU) Grossman School of Medicine</t>
  </si>
  <si>
    <t>Hospital of Galdakao; PD Biscay Association (ASPARBI)</t>
  </si>
  <si>
    <t>Dementia Research Centre; University College London</t>
  </si>
  <si>
    <t>Guangdong General Hospital</t>
  </si>
  <si>
    <t>Xuanwu Hospital; Capital Medical University</t>
  </si>
  <si>
    <t>Thomas Jefferson University; UCL Institute of Neurology; National Hospital for Neurology and Neurosurgery</t>
  </si>
  <si>
    <t>Affiliated Hospital of Yangzhou University</t>
  </si>
  <si>
    <t>University of British Columbia (UBC)</t>
  </si>
  <si>
    <t>Ruijin Hospital; Shanghai Jiao Tong University</t>
  </si>
  <si>
    <t>Amsterdam UMC</t>
  </si>
  <si>
    <t>Stanford University School of Medicine</t>
  </si>
  <si>
    <t>University of British Columbia</t>
  </si>
  <si>
    <t>Paradigm_Type</t>
  </si>
  <si>
    <t>Task_Description</t>
  </si>
  <si>
    <t>Resting-state</t>
  </si>
  <si>
    <t>Task-based</t>
  </si>
  <si>
    <t>Hybrid</t>
  </si>
  <si>
    <t>Resting-state and Attention Network Test</t>
  </si>
  <si>
    <t>Right-hand squeeze bulb motor modulation task</t>
  </si>
  <si>
    <t>Motion_Params</t>
  </si>
  <si>
    <t>Regress_WM_CSF</t>
  </si>
  <si>
    <t>Regress_CompCor</t>
  </si>
  <si>
    <t>Regress_ICA_AROMA</t>
  </si>
  <si>
    <t>Detrending</t>
  </si>
  <si>
    <t>Despiking</t>
  </si>
  <si>
    <t>Scrubbing</t>
  </si>
  <si>
    <t>Yes</t>
  </si>
  <si>
    <t>12p</t>
  </si>
  <si>
    <t>Exclusion_Mean_FD_mm</t>
  </si>
  <si>
    <t>Exclusion_Max_FD_mm</t>
  </si>
  <si>
    <t>Exclusion_Max_Translation_mm</t>
  </si>
  <si>
    <t>Exclusion_Max_Rotation_deg</t>
  </si>
  <si>
    <t>Exclusion_Outlier_Frames_percent</t>
  </si>
  <si>
    <t>Exclusion_Other</t>
  </si>
  <si>
    <t>Compliance reported; Time-point censoring</t>
  </si>
  <si>
    <t>Compliance reported: &lt;2mm translation; &lt;2 deg rotation</t>
  </si>
  <si>
    <t>Qualitative review</t>
  </si>
  <si>
    <t>Max displacement &gt; 1 voxel</t>
  </si>
  <si>
    <t>Compliance reported: &lt;3mm translation; &lt;3 deg rotation</t>
  </si>
  <si>
    <t>FD from Jenkinson</t>
  </si>
  <si>
    <t>Filter_Type</t>
  </si>
  <si>
    <t>Low_Cutoff_Hz</t>
  </si>
  <si>
    <t>High_Cutoff_Hz</t>
  </si>
  <si>
    <t>Filter_Step_2_Type</t>
  </si>
  <si>
    <t>Low_Cutoff_2_Hz</t>
  </si>
  <si>
    <t>High_Cutoff_2_Hz</t>
  </si>
  <si>
    <t>Band-pass</t>
  </si>
  <si>
    <t>Low-pass</t>
  </si>
  <si>
    <t>High-pass</t>
  </si>
  <si>
    <t>Dynamic FC variance; Dwell time; Fraction time; Frequency; State-transition probability</t>
  </si>
  <si>
    <t>Dwell time; Fraction time; Number of transitions</t>
  </si>
  <si>
    <t>Between-module connections; Modularity</t>
  </si>
  <si>
    <t>Betweenness centrality; Clustering coefficient; Global efficiency; Local efficiency; Small-worldness</t>
  </si>
  <si>
    <t>Global efficiency; Local efficiency</t>
  </si>
  <si>
    <t>Assortativity; Betweenness centrality; Clustering coefficient; Global efficiency; Local efficiency</t>
  </si>
  <si>
    <t>Dwell time; Number of transitions</t>
  </si>
  <si>
    <t>Betweenness centrality; Clustering coefficient; Global efficiency; Local efficiency</t>
  </si>
  <si>
    <t>Assortativity; Betweenness centrality; Clustering coefficient; Global efficiency</t>
  </si>
  <si>
    <t>Global efficiency; Local efficiency; Small-worldness</t>
  </si>
  <si>
    <t>Averaged time periods; Network variation; Number of transitions</t>
  </si>
  <si>
    <t>Fraction time; Number of transitions</t>
  </si>
  <si>
    <t>Identified_States_Description</t>
  </si>
  <si>
    <t>State 1 (Globally integrated; least frequent); State 2 (More connected); State 3 (Lesser connected/Segregated; most frequent)</t>
  </si>
  <si>
    <t>State 4 (Integrated; least frequent); State 2 (Segregated; most frequent); States 1 and 3 (Intermediate)</t>
  </si>
  <si>
    <t>State 1 (Integrated; least frequent); State 5 (Segregated; most frequent); States 2-4 (Intermediate with specific network features)</t>
  </si>
  <si>
    <t>State 3 (Integrated; least frequent); State 1 (Segregated; most frequent); State 2 (DMN-dominated); State 4 (VIS-SMN connected)</t>
  </si>
  <si>
    <t>State 3 (Integrated); State 4 (Segregated; most frequent); States 1 and 2 (Intermediate; network-specific)</t>
  </si>
  <si>
    <t>State 4 (Integrated; least frequent); State 2 (Segregated; most frequent); States 1 and 3 (Intermediate; network-specific)</t>
  </si>
  <si>
    <t>State 4 (Integrated; least frequent); State 3 (Segregated; most frequent); States 1 and 2 (Intermediate; network-specific)</t>
  </si>
  <si>
    <t>State 4 (Integrated; least frequent); State 1 (Segregated; most frequent); States 2 and 3 (Intermediate with DMN/FPN vs VIS/DAN focus)</t>
  </si>
  <si>
    <t>State 4 (Integrated; least frequent); State 1 (Segregated; most frequent); States 2 and 3 (Intermediate with specific network features)</t>
  </si>
  <si>
    <t>State 2 (Integrated; less frequent); State 1 (Segregated; more frequent)</t>
  </si>
  <si>
    <t>State 4 (Integrated; least frequent); State 1 (Segregated; most frequent); States 2 and 3 (Intermediate)</t>
  </si>
  <si>
    <t>Three balanced frequency states: State 1 (CB-SMN focused); State 2 (FPN-SMN focused); State 3 (CON-SMN focused)</t>
  </si>
  <si>
    <t>State 2 (Stronger connections; anti-correlated); State 1 (Weaker connections/Segregated)</t>
  </si>
  <si>
    <t>State 1 (Integrated; least frequent); State 3 (Segregated; most frequent); States 2 and 4 (Intermediate)</t>
  </si>
  <si>
    <t>State 2 (Hyper-connected/Integrated); State 1 (Hypo-connected/Segregated); State 3 (Anti-correlated pattern)</t>
  </si>
  <si>
    <t>State 1 (Integrated; less frequent); State 2 (Segregated; more frequent)</t>
  </si>
  <si>
    <t>Integrated and Segregated states</t>
  </si>
  <si>
    <t>State 6 (Strongly Integrated); State 1 (Weakly Segregated); States 2-5 and 7 (Intermediate with specific network features)</t>
  </si>
  <si>
    <t>State 1 (Strongly connected/Integrated); State 2 (Sparsely connected/Segregated)</t>
  </si>
  <si>
    <t>State 1 (Integrated); State 2 (Segregated)</t>
  </si>
  <si>
    <t>State 3 (Integrated; HC only); State 1 (Segregated; most frequent); States 2 and 4 (Intermediate)</t>
  </si>
  <si>
    <t>Not applicable (Method measures temporal variability; not states)</t>
  </si>
  <si>
    <t>State 2 (Integrated; least frequent); State 1 (Segregated; most frequent); States 3 and 4 (Intermediate)</t>
  </si>
  <si>
    <t>Factor-based description: Identifies factors of covarying connections (not discrete states)</t>
  </si>
  <si>
    <t>State 2 (Integrated); States 1 and 3 (Segregated)</t>
  </si>
  <si>
    <t>Not applicable (d-CAPs method identifies co-activation patterns)</t>
  </si>
  <si>
    <t>Not applicable (Method measures effective connectivity)</t>
  </si>
  <si>
    <t>Proposed_Biomarker_Summary_Cleaned</t>
  </si>
  <si>
    <t>STN-DBS modulates whole-brain motor network states; providing a mechanistic explanation for its therapeutic effects on motor symptoms.</t>
  </si>
  <si>
    <t>Depression in PD may be linked to time-varying disruptions between the DMN and CEN; as well as abnormal dynamic graph metrics.</t>
  </si>
  <si>
    <t>Weaker connectivity between VIS-DMN; DMN-BG; and within the DMN in the most segregated state may be a neural substrate for REM Sleep Behavior Disorder (RBD) in PD.</t>
  </si>
  <si>
    <t>As PD progresses; patients spend more time in hypo-coupled (segregated) states; which parallels the worsening of non-motor symptoms.</t>
  </si>
  <si>
    <t>Major cognitive alterations in PD are associated with spending longer in sparse (segregated) states; having fewer state transitions; and spending less time in integrated states.</t>
  </si>
  <si>
    <t>Abnormal temporal patterns; greater segregation; and reduced global integration are related to motor severity in PD.</t>
  </si>
  <si>
    <t>Impulse Control Disorder (ICD) in PD is associated with heightened local engagement of limbic networks; suggesting inefficient emotion and reward modulation.</t>
  </si>
  <si>
    <t>Mild Cognitive Impairment (MCI) in PD is associated with dFC deterioration; reduced SMN-Cerebellum coupling; and topological decline in the SMN.</t>
  </si>
  <si>
    <t>Visual Hallucinations (VH) in PD are linked to spending more time in a segregated state; having fewer state transitions; and longer dwell times in the integrated state.</t>
  </si>
  <si>
    <t>PD is associated with reduced network variability over time; which may be a potential biomarker reflecting impaired cognitive flexibility.</t>
  </si>
  <si>
    <t>Executive dysfunction in PD is associated with disrupted communication between subcortical; frontoparietal; and attention networks.</t>
  </si>
  <si>
    <t>Dopamine-induced changes in brain-state dynamics track individual performance gains; showing an inverted-U-shaped dose-response relationship.</t>
  </si>
  <si>
    <t>The mean dwell time (MDT) in the sparse-FC (segregated) state decreases with disease progression and tracks motor and cognitive decline; supporting dFC as a progression biomarker.</t>
  </si>
  <si>
    <t>1.5-2</t>
  </si>
  <si>
    <t>DMN dynamics are related to better memory; a finding also observed in PD patients without Mild Cognitive Impairment.</t>
  </si>
  <si>
    <t>Patients with Excessive Daytime Sleepiness (EDS) spend more time in an integrated state; which is interpreted as not helpful.</t>
  </si>
  <si>
    <t>More severe FOG and worse cognitive performance are related to positive correlation between VIS and higher-order networks (DMN; FPN).</t>
  </si>
  <si>
    <t>Tremor-dominant patients spend more time in a segregated state; which is related to poorer motor performance. The study also found higher global efficiency in PD.</t>
  </si>
  <si>
    <t>HCs spend more time in the segregated state (State I); which is related to better motor performance.</t>
  </si>
  <si>
    <t>PD with Impulse Control Disorder (ICD) spend more time in a segregated network state; which is correlated with worse personality and impulsivity scores.</t>
  </si>
  <si>
    <t>HCs spend more time in the integrated state; which is considered helpful.</t>
  </si>
  <si>
    <t>PD with Mild Cognitive Impairment (MCI) spend more time in the segregated state; which is linked to worse outcomes.</t>
  </si>
  <si>
    <t>Compared to HCs; PD with MCI spend less time in a segregated state.</t>
  </si>
  <si>
    <t>The integrated state was only found in HCs; and spending less time in a more integrated state was related to better motor performance.</t>
  </si>
  <si>
    <t>Dwell time in the segregated state is higher in PD than HCs; and spending more time in this state is related to worse motor performance.</t>
  </si>
  <si>
    <t>PD with pure apathy (PA) stay longer in a segregated state; which is related to higher apathy scores.</t>
  </si>
  <si>
    <t>This study uses a task-based paradigm and interprets states based on cognitive processes (e.g.; encoding; retrieval); not integration/segregation.</t>
  </si>
  <si>
    <t>Restign data: FWHM = 3; task data: FWHM = 4</t>
  </si>
  <si>
    <t>Not applicable; the study focuses on effective connectivity using SEM and MAR; not dFC states.</t>
  </si>
  <si>
    <t>Caudate; Cerebellar hemisphere; Cerebellar vermis; Globus Pallidus externa (GPe); Globus Pallidus interna (GPi); Key motor areas; Motor thalamus; Paracentral lobule; Postcentral gyrus; Precentral gyrus; Putamen; Subthalamic Nucleus (STN); Supplementary Motor Area (SMA)</t>
  </si>
  <si>
    <t>Basal Ganglia (BG); Cerebellum (CB); Sensorimotor Network (SMN)</t>
  </si>
  <si>
    <t>Auditory Network (AUD); Basal Ganglia (BG); Central Executive Network (CEN); Cerebellum (CB); Default Mode Network (DMN); Sensorimotor Network (SMN); Visual Network (VIS)</t>
  </si>
  <si>
    <t>Auditory Network (AUD); Basal Ganglia (BG); Central Executive Network (CEN); Default Mode Network (DMN); Sensorimotor Network (SMN); Visual Network (VIS)</t>
  </si>
  <si>
    <t>Default Mode Network (DMN); Fronto-parietal Network (FPN)</t>
  </si>
  <si>
    <t>Auditory Network (AUD); Basal Ganglia (BG); Central Executive Network (CEN); Cerebellum (CB); Default Mode Network (DMN); Salience Network (SAL); Sensorimotor Network (SMN); Visual Network (VIS)</t>
  </si>
  <si>
    <t>Attention Network (ATT); Auditory Network (AUD); Basal Ganglia (BG); Default Mode Network (DMN); Fronto-parietal Network (FPN); Sensorimotor Network (SMN); Visual Network (VIS)</t>
  </si>
  <si>
    <t>Auditory Network (AUD); Basal Ganglia (BG); Central Executive Network (CEN); Default Mode Network (DMN); Dorsal Attention Network (DAN); Fronto-parietal Network (FPN); Salience Network (SAL); Sensorimotor Network (SMN); Visual Network (VIS)</t>
  </si>
  <si>
    <t>Basal Ganglia (BG); Default Mode Network (DMN); Fronto-parietal Network (FPN); Ventral Sensorimotor Network (SMN-v); Dorsal Sensorimotor Network (SMN-d)</t>
  </si>
  <si>
    <t>Basal Ganglia (BG); Central Executive Network (CEN); Cerebellum (CB); Default Mode Network (DMN); Sensorimotor Network (SMN)</t>
  </si>
  <si>
    <t>Cerebellum (CB); Cingulo-opercular Network (CON); Fronto-parietal Network (FPN); Sensorimotor Network (SMN)</t>
  </si>
  <si>
    <t>Basal Ganglia (BG); Cerebellum (CB); Motor Initiation (MI); Sensorimotor Network (SMN)</t>
  </si>
  <si>
    <t>Auditory Network (AUD); Basal Ganglia (BG); Central Executive Network (CEN); Cerebellum (CB); Default Mode Network (DMN); Language Network (LAN); Salience Network (SAL); Sensorimotor Network (SMN); Visual Network (VIS)</t>
  </si>
  <si>
    <t>Auditory Network (AUD); Basal Ganglia (BG); Central Executive Network (CEN); Cerebellum (CB); Default Mode Network (DMN); Fronto-parietal Network (FPN); Language Network (LAN); Salience Network (SAL); Sensorimotor Network (SMN); Thalamus (TH); Visual Network (VIS)</t>
  </si>
  <si>
    <t>Auditory Network (AUD); Basal Ganglia (BG); Central Executive Network (CEN); Cerebellum (CB); Default Mode Network (DMN); Sensorimotor Network (SMN); Subcortical (SC); Visual Network (VIS)</t>
  </si>
  <si>
    <t>Cerebellar areas</t>
  </si>
  <si>
    <t>Auditory Network (AUD); Cerebellum (CB); Default Mode Network (DMN); Fronto-parietal Network (FPN); Language Network (LAN); Salience Network (SAL); Sensorimotor Network (SMN); Visual Network (VIS)</t>
  </si>
  <si>
    <t>Attention Network (ATT); Auditory Network (AUD); Cerebellum (CB); Central Executive Network (CEN); Default Mode Network (DMN); Salience Network (SAL); Sensorimotor Network (SMN); Visual Network (VIS)</t>
  </si>
  <si>
    <t>Auditory Network (AUD); Cerebellum (CB); Cingulo-opercular Network (CON); Default Mode Network (DMN); Dorsal Attention Network (DAN); Fronto-parietal Network (FPN); Memory Network (MEM); Salience Network (SAL); Sensorimotor Network (SMN); Subcortical (SC); Uncertain; Ventral Attention Network (VAN); Visual Network (VIS)</t>
  </si>
  <si>
    <t>Attention Network (ATT); Auditory Network (AUD); Central Executive Network (CEN); Cerebellum (CB); Default Mode Network (DMN); Sensorimotor Network (SMN); Visual Network (VIS)</t>
  </si>
  <si>
    <t>Default Mode Network (DMN); Dorsal Attention Network (DAN); Fronto-parietal Network (FPN); Sensorimotor Network (SMN); Subcortical (SC); Ventral Attention Network (VAN); Visual Network (VIS)</t>
  </si>
  <si>
    <t>Thalamic nuclei: AV; IL; LGN; LP; MD-mc; MD-pc; MGN; PuA; Pulv-Inf; Pulv-Lat; Pulv-Med; VA; VL; VPL</t>
  </si>
  <si>
    <t>Anterior Insula (AI-L/R); Caudate (L/R); Dorsolateral Prefrontal Cortex (DLPFC-L/R); Dorsomedial Prefrontal Cortex (DMPFC-Bilateral); Posterior Parietal Cortex (PPC-L/R); Thalamus (L/R)</t>
  </si>
  <si>
    <t>Default Mode Network (DMN); Dorsal Attention Network (DAN); Fronto-parietal Network (FPN)</t>
  </si>
  <si>
    <t>Auditory Network (AUD); Central Executive Network (CEN); Cerebellum (CB); Default Mode Network (DMN); Medial Temporal Network (MTN); Sensorimotor Network (SMN); Subcortical (SC); Visual Network (VIS)</t>
  </si>
  <si>
    <t>Central Executive Network (CEN); Default Mode Network (DMN); Fronto-parietal Network (FPN); Medial Temporal Network (MTN); Sensorimotor Network (SMN); Striatum (STR); Subthalamic Nucleus (STN)</t>
  </si>
  <si>
    <t>Anterior Cingulate Cortex (ACC-Bilateral); Caudate-Bilateral; Cerebellum-Bilateral; Globus Pallidus-Bilateral; Prefrontal Cortex (PFC-Bilateral); Primary Motor Cortex (M1-Bilateral); Putamen-Bilateral; Supplementary Motor Area (SMA-Bilateral); Thalamus-Bilateral</t>
  </si>
  <si>
    <t>Default Mode Network (DMN); Dorsal Attention Network (DAN); Fronto-parietal Network (FPN); Limbic Network (LIM); Sensorimotor Network (SMN); Subcortical (SC); Ventral Attention Network (VAN); Visual Network (VIS)</t>
  </si>
  <si>
    <t>Network_Areas</t>
  </si>
  <si>
    <t>Groups</t>
  </si>
  <si>
    <t>Information</t>
  </si>
  <si>
    <t>Description</t>
  </si>
  <si>
    <r>
      <t xml:space="preserve">A unique short identifier (e.g., </t>
    </r>
    <r>
      <rPr>
        <sz val="10"/>
        <color rgb="FF444746"/>
        <rFont val="Google Sans Text"/>
        <family val="2"/>
      </rPr>
      <t>AuthorYear</t>
    </r>
    <r>
      <rPr>
        <sz val="11"/>
        <color rgb="FF1B1C1D"/>
        <rFont val="Arial"/>
        <family val="2"/>
      </rPr>
      <t>) for each study.</t>
    </r>
  </si>
  <si>
    <t>The authors of the publication.</t>
  </si>
  <si>
    <t>The year the study was published.</t>
  </si>
  <si>
    <t>The name of the journal where the study was published.</t>
  </si>
  <si>
    <t>The Digital Object Identifier for the article.</t>
  </si>
  <si>
    <t>The total number of participants with Parkinson's Disease (PD).</t>
  </si>
  <si>
    <t>The minimum age of the PD participants.</t>
  </si>
  <si>
    <t>The maximum age of the PD participants.</t>
  </si>
  <si>
    <t>The average age of the PD participants.</t>
  </si>
  <si>
    <t>The standard deviation of the PD participants' age.</t>
  </si>
  <si>
    <t>The average UPDRS score for PD patients in their 'ON' medication state.</t>
  </si>
  <si>
    <t>The standard deviation of the 'ON' medication UPDRS score.</t>
  </si>
  <si>
    <t>The median UPDRS score for PD patients in their 'ON' medication state.</t>
  </si>
  <si>
    <t>The interquartile range of the 'ON' medication UPDRS score.</t>
  </si>
  <si>
    <t>The average UPDRS score for PD patients in their 'OFF' medication state.</t>
  </si>
  <si>
    <t>The standard deviation of the 'OFF' medication UPDRS score.</t>
  </si>
  <si>
    <t>The median UPDRS score for PD patients in their 'OFF' medication state.</t>
  </si>
  <si>
    <t>The interquartile range of the 'OFF' medication UPDRS score.</t>
  </si>
  <si>
    <t>The average Hoehn &amp; Yahr stage, indicating PD severity.</t>
  </si>
  <si>
    <t>The standard deviation of the Hoehn &amp; Yahr stage.</t>
  </si>
  <si>
    <t>The median Hoehn &amp; Yahr stage.</t>
  </si>
  <si>
    <t>The interquartile range of the Hoehn &amp; Yahr stage.</t>
  </si>
  <si>
    <t>The minimum Hoehn &amp; Yahr stage.</t>
  </si>
  <si>
    <t>The maximum Hoehn &amp; Yahr stage.</t>
  </si>
  <si>
    <t>The medication status of PD patients at the time of the fMRI scan (e.g., ON, OFF).</t>
  </si>
  <si>
    <t>The total number of Healthy Control (HC) participants.</t>
  </si>
  <si>
    <t>The average age of the HC participants.</t>
  </si>
  <si>
    <t>The standard deviation of the HC participants' age.</t>
  </si>
  <si>
    <t>The overall design of the study (e.g., Cross-sectional, Longitudinal).</t>
  </si>
  <si>
    <t>The main topic of the investigation (e.g., Motor Symptoms, Cognitive Impairment).</t>
  </si>
  <si>
    <t>A detailed sub-category of the primary focus (e.g., Tremor, FOG, Apathy).</t>
  </si>
  <si>
    <t>The origin of the dataset (e.g., Public, Private/In-house).</t>
  </si>
  <si>
    <t>The specific database or institution that provided the data (e.g., PPMI).</t>
  </si>
  <si>
    <t>The type of fMRI experiment performed (e.g., Resting-state, Task-based).</t>
  </si>
  <si>
    <t>A brief description of the task, if one was used.</t>
  </si>
  <si>
    <t>Repetition Time (the time to acquire one fMRI volume) in milliseconds.</t>
  </si>
  <si>
    <t>Echo Time (the time to measure the fMRI signal) in milliseconds.</t>
  </si>
  <si>
    <t>The total number of brain volumes collected during the scan.</t>
  </si>
  <si>
    <t>The total duration of the fMRI scan in minutes.</t>
  </si>
  <si>
    <t>The dimensions of the fMRI voxels (e.g., 3x3x3 mm).</t>
  </si>
  <si>
    <t>The magnetic field strength of the MRI scanner in Tesla (T).</t>
  </si>
  <si>
    <t>The number of head motion parameters regressed (e.g., 6p, 24p).</t>
  </si>
  <si>
    <t>Whether White Matter &amp; Cerebrospinal Fluid signals were regressed out (Yes/No).</t>
  </si>
  <si>
    <t>Whether CompCor denoising was used (Yes/No).</t>
  </si>
  <si>
    <t>Whether ICA-AROMA denoising was used (Yes/No).</t>
  </si>
  <si>
    <t>Whether signal detrending was applied (Yes/No).</t>
  </si>
  <si>
    <t>Whether signal despiking was applied (Yes.No).</t>
  </si>
  <si>
    <t>Whether motion scrubbing (frame censoring) was applied (Yes/No).</t>
  </si>
  <si>
    <t>The Mean Framewise Displacement threshold (in mm) for subject exclusion.</t>
  </si>
  <si>
    <t>The Maximum Framewise Displacement threshold (in mm) for subject exclusion.</t>
  </si>
  <si>
    <t>The Maximum Translation threshold (in mm) for subject exclusion.</t>
  </si>
  <si>
    <t>The Maximum Rotation threshold (in degrees) for subject exclusion.</t>
  </si>
  <si>
    <t>The threshold for the percentage of outlier frames for subject exclusion.</t>
  </si>
  <si>
    <t>Any other or qualitative criteria used for motion exclusion.</t>
  </si>
  <si>
    <t>Whether Global Signal Regression was performed (Yes/No).</t>
  </si>
  <si>
    <t>The kernel size (FWHM in mm) used for spatial smoothing.</t>
  </si>
  <si>
    <t>The type of temporal filtering applied (e.g., Band-pass, Low-pass).</t>
  </si>
  <si>
    <t>The low-frequency cutoff (in Hz) for the temporal filter.</t>
  </si>
  <si>
    <t>The high-frequency cutoff (in Hz) for the temporal filter.</t>
  </si>
  <si>
    <t>The type of a second temporal filtering step, if applied.</t>
  </si>
  <si>
    <t>The low-frequency cutoff for a second filtering step.</t>
  </si>
  <si>
    <t>The high-frequency cutoff for a second filtering step.</t>
  </si>
  <si>
    <t>The level of analysis (e.g., Areas, Networks, Whole Brain).</t>
  </si>
  <si>
    <t>The number of networks used in a network-based analysis.</t>
  </si>
  <si>
    <t>The number of areas or ROIs defined by the parcellation.</t>
  </si>
  <si>
    <t>A list of the specific brain networks or areas investigated.</t>
  </si>
  <si>
    <t>The brain atlas or method used to define regions (e.g., AAL, Schaefer).</t>
  </si>
  <si>
    <t>The computational method used to measure dFC (e.g., Sliding window, d-CAPs).</t>
  </si>
  <si>
    <t>The length of the sliding window (in seconds) for dFC analysis.</t>
  </si>
  <si>
    <t>The step size (in seconds) the sliding window moved by.</t>
  </si>
  <si>
    <t>The algorithm used to identify brain states (e.g., k-means).</t>
  </si>
  <si>
    <t>The final number of dFC states identified.</t>
  </si>
  <si>
    <t>The method used to select the optimal number of states (e.g., Silhouette index).</t>
  </si>
  <si>
    <t>The dynamic properties extracted from the states (e.g., Dwell time, Fraction time).</t>
  </si>
  <si>
    <t>Any graph theory metrics computed (e.g., Global efficiency, Modularity).</t>
  </si>
  <si>
    <t>Information on whether the raw data is publicly available.</t>
  </si>
  <si>
    <t>Information on whether the analysis code is publicly available.</t>
  </si>
  <si>
    <t>A qualitative description of the identified brain states.</t>
  </si>
  <si>
    <t>Specific findings related to highly integrated brain states.</t>
  </si>
  <si>
    <t>Specific findings related to highly segregated brain states.</t>
  </si>
  <si>
    <t>The study's primary conclusion about integration vs. segregation.</t>
  </si>
  <si>
    <t>Specific findings related to the transitions between brain states.</t>
  </si>
  <si>
    <t>The study's primary conclusion about the patterns of state transitions.</t>
  </si>
  <si>
    <t>The key finding or proposed biomarker summarized from the study.</t>
  </si>
  <si>
    <t>The study's limitations as reported by the authors.</t>
  </si>
  <si>
    <t>2. Study Design</t>
  </si>
  <si>
    <t>Affiliated Wuxi Peoples Hospital of Nanjing Medical University</t>
  </si>
  <si>
    <t>The Innovative Medicine</t>
  </si>
  <si>
    <t>First 10 volumes removed</t>
  </si>
  <si>
    <t>STN-DBS reduced abnormal segregation and low connectivity in motor network</t>
  </si>
  <si>
    <t>Excluded subjects with artifacts, phantoms, tilted planes, or cortex cuts</t>
  </si>
  <si>
    <t>https://github.com/Asendorfa/Handling-GIFT</t>
  </si>
  <si>
    <t>Cerebral integration increases before, followed by cofluctuating arousal and tremor amplitude</t>
  </si>
  <si>
    <t>TDPD patients spent less mean dwell time in highly interconnected state 4.</t>
  </si>
  <si>
    <t>poor MRI image quality</t>
  </si>
  <si>
    <t>State I described as “most frequent and relatively sparsely connected,” indicating a more weakly connected (sparser) configuration recurrent in the data.</t>
  </si>
  <si>
    <t>4 PD patients and 4 healthy volunteers excluded due to excess head movements during the scan</t>
  </si>
  <si>
    <t>9 participants excluded due to motion (4 PD-ICD, 2 PD-noICD, 3 HC)</t>
  </si>
  <si>
    <t xml:space="preserve">Global efficiency; Local efficiency; Nodal efficiency </t>
  </si>
  <si>
    <t>1.9×1.9×3</t>
  </si>
  <si>
    <t>Excluded if mean motion &gt;1.5 SD above IQR; excluded if failed to complete all runs</t>
  </si>
  <si>
    <t>Change in factor scores between sessions correlated with accuracy improvements.</t>
  </si>
  <si>
    <t>Small sample; no correction for multiple comparisons; heterogeneity of PD; issues interpreting change scores;</t>
  </si>
  <si>
    <t>Two PD subjects excluded due to scanner/stimulus technical problems</t>
  </si>
  <si>
    <t>No subject-level connectivity estimation due to insufficient statistical power.</t>
  </si>
  <si>
    <t>27 patients excluded due to excessive head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</si>
</sst>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family val="2"/>
    </font>
    <font>
      <sz val="11"/>
      <color rgb="FF00B050"/>
      <name val="Calibri"/>
      <family val="2"/>
      <scheme val="minor"/>
    </font>
    <font>
      <sz val="11"/>
      <color rgb="FFFF0000"/>
      <name val="Calibri"/>
      <family val="2"/>
      <scheme val="minor"/>
    </font>
    <font>
      <sz val="11"/>
      <name val="Calibri"/>
      <family val="2"/>
      <scheme val="minor"/>
    </font>
    <font>
      <sz val="11"/>
      <color rgb="FF1B1C1D"/>
      <name val="Arial"/>
      <family val="2"/>
    </font>
    <font>
      <b/>
      <sz val="11"/>
      <color rgb="FF1B1C1D"/>
      <name val="Arial"/>
      <family val="2"/>
    </font>
    <font>
      <sz val="10"/>
      <color rgb="FF444746"/>
      <name val="Google Sans Text"/>
      <family val="2"/>
    </font>
    <font>
      <u/>
      <sz val="11"/>
      <color theme="1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6">
    <xf numFmtId="0" fontId="0" fillId="0" borderId="0" xfId="0"/>
    <xf numFmtId="0" fontId="0" fillId="0" borderId="0" xfId="0" applyAlignment="1">
      <alignment wrapText="1"/>
    </xf>
    <xf numFmtId="0" fontId="2" fillId="0" borderId="0" xfId="0" applyFont="1"/>
    <xf numFmtId="0" fontId="0" fillId="2" borderId="0" xfId="0" applyFill="1"/>
    <xf numFmtId="0" fontId="2" fillId="2" borderId="0" xfId="0" applyFont="1" applyFill="1"/>
    <xf numFmtId="0" fontId="0" fillId="0" borderId="0" xfId="0" applyAlignment="1">
      <alignment horizontal="center"/>
    </xf>
    <xf numFmtId="0" fontId="3" fillId="0" borderId="0" xfId="0" applyFont="1"/>
    <xf numFmtId="0" fontId="0" fillId="3" borderId="0" xfId="0" applyFill="1"/>
    <xf numFmtId="0" fontId="3" fillId="2" borderId="0" xfId="0" applyFont="1" applyFill="1"/>
    <xf numFmtId="0" fontId="4" fillId="0" borderId="0" xfId="0" applyFont="1"/>
    <xf numFmtId="0" fontId="0" fillId="0" borderId="0" xfId="0" applyAlignment="1">
      <alignment horizontal="left"/>
    </xf>
    <xf numFmtId="0" fontId="0" fillId="0" borderId="0" xfId="0" applyAlignment="1">
      <alignment horizontal="left" vertical="center" indent="1"/>
    </xf>
    <xf numFmtId="0" fontId="0" fillId="0" borderId="0" xfId="0" applyFont="1"/>
    <xf numFmtId="0" fontId="0" fillId="0" borderId="0" xfId="0" applyAlignment="1">
      <alignment horizontal="right" vertical="center" indent="1"/>
    </xf>
    <xf numFmtId="0" fontId="0" fillId="0" borderId="0" xfId="0" applyAlignment="1">
      <alignment horizontal="center"/>
    </xf>
    <xf numFmtId="0" fontId="0" fillId="2" borderId="0" xfId="0" applyFill="1" applyAlignment="1">
      <alignment vertical="top"/>
    </xf>
    <xf numFmtId="0" fontId="0" fillId="0" borderId="0" xfId="0" applyAlignment="1">
      <alignment vertical="top"/>
    </xf>
    <xf numFmtId="0" fontId="0" fillId="0" borderId="0" xfId="0" applyAlignment="1">
      <alignment horizontal="left" vertical="top"/>
    </xf>
    <xf numFmtId="0" fontId="0" fillId="0" borderId="0" xfId="0" applyAlignment="1">
      <alignment horizontal="right" vertical="top"/>
    </xf>
    <xf numFmtId="0" fontId="3" fillId="2" borderId="0" xfId="0" applyFont="1" applyFill="1" applyAlignment="1">
      <alignment vertical="top"/>
    </xf>
    <xf numFmtId="0" fontId="0" fillId="0" borderId="0" xfId="0" applyFill="1" applyAlignment="1">
      <alignment horizontal="center"/>
    </xf>
    <xf numFmtId="0" fontId="0" fillId="0" borderId="0" xfId="0" applyFill="1"/>
    <xf numFmtId="0" fontId="0" fillId="0" borderId="0" xfId="0" applyFill="1" applyAlignment="1">
      <alignment vertical="top"/>
    </xf>
    <xf numFmtId="16" fontId="0" fillId="2" borderId="0" xfId="0" applyNumberFormat="1" applyFill="1"/>
    <xf numFmtId="0" fontId="6" fillId="0" borderId="0" xfId="0" applyFont="1" applyAlignment="1">
      <alignment vertical="center" readingOrder="1"/>
    </xf>
    <xf numFmtId="0" fontId="5" fillId="0" borderId="0" xfId="0" applyFont="1" applyAlignment="1">
      <alignment vertical="center" readingOrder="1"/>
    </xf>
    <xf numFmtId="0" fontId="0" fillId="0" borderId="0" xfId="0" applyAlignment="1">
      <alignment horizontal="right"/>
    </xf>
    <xf numFmtId="0" fontId="0" fillId="4" borderId="0" xfId="0" applyFill="1"/>
    <xf numFmtId="0" fontId="0" fillId="5" borderId="0" xfId="0" applyFill="1"/>
    <xf numFmtId="0" fontId="3" fillId="4" borderId="0" xfId="0" applyFont="1" applyFill="1"/>
    <xf numFmtId="0" fontId="8" fillId="5" borderId="0" xfId="1" applyFill="1"/>
    <xf numFmtId="0" fontId="0" fillId="6" borderId="0" xfId="0" applyFill="1"/>
    <xf numFmtId="0" fontId="3" fillId="0" borderId="0" xfId="0" applyFont="1" applyAlignment="1">
      <alignment vertical="top"/>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Asendorfa/Handling-GIF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31B0-FD1C-48C3-A99A-B7306110CC67}">
  <dimension ref="A1:E4"/>
  <sheetViews>
    <sheetView workbookViewId="0">
      <selection activeCell="B2" sqref="B2"/>
    </sheetView>
  </sheetViews>
  <sheetFormatPr defaultColWidth="9" defaultRowHeight="14.25"/>
  <cols>
    <col min="1" max="1" width="16.265625" style="1" customWidth="1"/>
    <col min="2" max="2" width="108.3984375" style="1" customWidth="1"/>
    <col min="3" max="16384" width="9" style="1"/>
  </cols>
  <sheetData>
    <row r="1" spans="1:5" ht="28.5">
      <c r="A1" s="1" t="s">
        <v>0</v>
      </c>
      <c r="B1" s="1" t="s">
        <v>1</v>
      </c>
      <c r="C1" s="1" t="s">
        <v>2</v>
      </c>
      <c r="D1" s="1" t="s">
        <v>3</v>
      </c>
      <c r="E1" s="1" t="s">
        <v>4</v>
      </c>
    </row>
    <row r="2" spans="1:5" ht="85.5">
      <c r="A2" s="1" t="s">
        <v>5</v>
      </c>
      <c r="B2" s="1" t="s">
        <v>6</v>
      </c>
      <c r="C2" s="1" t="s">
        <v>7</v>
      </c>
      <c r="D2" s="1">
        <v>84</v>
      </c>
      <c r="E2" s="1" t="s">
        <v>11</v>
      </c>
    </row>
    <row r="3" spans="1:5" ht="85.5">
      <c r="A3" s="1" t="s">
        <v>8</v>
      </c>
      <c r="B3" s="1" t="s">
        <v>9</v>
      </c>
      <c r="C3" s="1" t="s">
        <v>10</v>
      </c>
      <c r="D3" s="1">
        <v>60</v>
      </c>
      <c r="E3" s="1" t="s">
        <v>11</v>
      </c>
    </row>
    <row r="4" spans="1:5" ht="85.5">
      <c r="A4" s="1" t="s">
        <v>13</v>
      </c>
      <c r="B4" s="1" t="s">
        <v>12</v>
      </c>
      <c r="C4" s="1" t="s">
        <v>10</v>
      </c>
      <c r="D4" s="1">
        <v>63</v>
      </c>
      <c r="E4"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7D1A-6F28-4007-9471-AA210375E776}">
  <dimension ref="A1:E27"/>
  <sheetViews>
    <sheetView topLeftCell="A7" workbookViewId="0">
      <selection activeCell="E3" sqref="E3"/>
    </sheetView>
  </sheetViews>
  <sheetFormatPr defaultRowHeight="14.25"/>
  <cols>
    <col min="1" max="1" width="31.1328125" customWidth="1"/>
  </cols>
  <sheetData>
    <row r="1" spans="1:5">
      <c r="A1" t="s">
        <v>14</v>
      </c>
      <c r="B1" t="s">
        <v>5</v>
      </c>
      <c r="C1" t="s">
        <v>13</v>
      </c>
      <c r="D1" t="s">
        <v>15</v>
      </c>
      <c r="E1" t="s">
        <v>17</v>
      </c>
    </row>
    <row r="2" spans="1:5">
      <c r="A2" t="s">
        <v>16</v>
      </c>
      <c r="B2">
        <v>84</v>
      </c>
      <c r="C2">
        <v>63</v>
      </c>
      <c r="D2">
        <v>60</v>
      </c>
      <c r="E2">
        <v>207</v>
      </c>
    </row>
    <row r="3" spans="1:5">
      <c r="A3" t="s">
        <v>18</v>
      </c>
      <c r="E3">
        <v>108</v>
      </c>
    </row>
    <row r="6" spans="1:5">
      <c r="A6" t="s">
        <v>19</v>
      </c>
    </row>
    <row r="7" spans="1:5">
      <c r="A7" t="s">
        <v>20</v>
      </c>
      <c r="B7" t="s">
        <v>22</v>
      </c>
      <c r="C7" t="s">
        <v>23</v>
      </c>
    </row>
    <row r="8" spans="1:5">
      <c r="A8" t="s">
        <v>21</v>
      </c>
      <c r="B8" t="s">
        <v>24</v>
      </c>
      <c r="C8">
        <v>9</v>
      </c>
    </row>
    <row r="9" spans="1:5">
      <c r="A9" t="s">
        <v>25</v>
      </c>
      <c r="B9" t="s">
        <v>26</v>
      </c>
      <c r="C9">
        <v>37</v>
      </c>
      <c r="D9" t="s">
        <v>33</v>
      </c>
    </row>
    <row r="10" spans="1:5">
      <c r="A10" t="s">
        <v>27</v>
      </c>
      <c r="B10" t="s">
        <v>28</v>
      </c>
      <c r="C10">
        <v>4</v>
      </c>
    </row>
    <row r="11" spans="1:5">
      <c r="A11" t="s">
        <v>29</v>
      </c>
      <c r="B11" t="s">
        <v>30</v>
      </c>
      <c r="C11">
        <v>5</v>
      </c>
      <c r="D11" t="s">
        <v>34</v>
      </c>
    </row>
    <row r="12" spans="1:5">
      <c r="A12" t="s">
        <v>31</v>
      </c>
      <c r="B12" t="s">
        <v>32</v>
      </c>
      <c r="C12">
        <v>9</v>
      </c>
    </row>
    <row r="13" spans="1:5">
      <c r="B13" t="s">
        <v>17</v>
      </c>
      <c r="C13">
        <f>SUM(C8:C12)</f>
        <v>64</v>
      </c>
    </row>
    <row r="15" spans="1:5">
      <c r="A15" t="s">
        <v>35</v>
      </c>
      <c r="C15">
        <v>44</v>
      </c>
    </row>
    <row r="18" spans="1:3">
      <c r="A18" t="s">
        <v>622</v>
      </c>
    </row>
    <row r="19" spans="1:3">
      <c r="A19" t="s">
        <v>20</v>
      </c>
      <c r="B19" t="s">
        <v>22</v>
      </c>
      <c r="C19" t="s">
        <v>23</v>
      </c>
    </row>
    <row r="20" spans="1:3">
      <c r="A20" t="s">
        <v>21</v>
      </c>
      <c r="B20" t="s">
        <v>24</v>
      </c>
      <c r="C20">
        <v>1</v>
      </c>
    </row>
    <row r="21" spans="1:3">
      <c r="A21" t="s">
        <v>25</v>
      </c>
      <c r="B21" t="s">
        <v>26</v>
      </c>
      <c r="C21">
        <v>1</v>
      </c>
    </row>
    <row r="22" spans="1:3">
      <c r="A22" t="s">
        <v>27</v>
      </c>
      <c r="B22" t="s">
        <v>28</v>
      </c>
    </row>
    <row r="23" spans="1:3">
      <c r="A23" t="s">
        <v>29</v>
      </c>
      <c r="B23" t="s">
        <v>30</v>
      </c>
      <c r="C23">
        <v>4</v>
      </c>
    </row>
    <row r="24" spans="1:3">
      <c r="A24" t="s">
        <v>31</v>
      </c>
      <c r="B24" t="s">
        <v>32</v>
      </c>
    </row>
    <row r="25" spans="1:3">
      <c r="A25" t="s">
        <v>681</v>
      </c>
      <c r="B25" t="s">
        <v>682</v>
      </c>
      <c r="C25">
        <v>1</v>
      </c>
    </row>
    <row r="27" spans="1:3">
      <c r="A27" t="s">
        <v>35</v>
      </c>
      <c r="C27">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CD25-B25C-4F04-B5E5-F51C1321EEE8}">
  <dimension ref="A1:BV68"/>
  <sheetViews>
    <sheetView workbookViewId="0">
      <pane xSplit="5" ySplit="2" topLeftCell="BV3" activePane="bottomRight" state="frozen"/>
      <selection pane="topRight" activeCell="F1" sqref="F1"/>
      <selection pane="bottomLeft" activeCell="A3" sqref="A3"/>
      <selection pane="bottomRight" activeCell="BV3" sqref="BV3:BV68"/>
    </sheetView>
  </sheetViews>
  <sheetFormatPr defaultRowHeight="14.25"/>
  <cols>
    <col min="5" max="5" width="28" customWidth="1"/>
    <col min="6" max="8" width="16.86328125" customWidth="1"/>
    <col min="9" max="9" width="21.265625" customWidth="1"/>
    <col min="10" max="10" width="32.265625" customWidth="1"/>
    <col min="11" max="11" width="35.59765625" customWidth="1"/>
    <col min="12" max="12" width="32" customWidth="1"/>
    <col min="13" max="13" width="35.73046875" customWidth="1"/>
    <col min="14" max="14" width="29.265625" customWidth="1"/>
    <col min="15" max="16" width="31.86328125" customWidth="1"/>
    <col min="17" max="17" width="14.86328125" customWidth="1"/>
    <col min="18" max="18" width="17.59765625" customWidth="1"/>
    <col min="19" max="19" width="19.59765625" customWidth="1"/>
    <col min="20" max="20" width="28.86328125" customWidth="1"/>
    <col min="21" max="21" width="31.3984375" customWidth="1"/>
    <col min="22" max="22" width="26.265625" customWidth="1"/>
    <col min="23" max="29" width="14.86328125" customWidth="1"/>
    <col min="30" max="30" width="79.3984375" customWidth="1"/>
    <col min="31" max="31" width="35.265625" customWidth="1"/>
    <col min="32" max="34" width="14.86328125" customWidth="1"/>
    <col min="35" max="35" width="13.1328125" customWidth="1"/>
    <col min="36" max="36" width="27.265625" customWidth="1"/>
    <col min="37" max="37" width="29.73046875" customWidth="1"/>
    <col min="38" max="38" width="26.59765625" customWidth="1"/>
    <col min="39" max="40" width="13.1328125" customWidth="1"/>
    <col min="41" max="45" width="28" customWidth="1"/>
    <col min="46" max="51" width="28.3984375" customWidth="1"/>
    <col min="52" max="52" width="26.86328125" customWidth="1"/>
    <col min="53" max="58" width="26.73046875" customWidth="1"/>
    <col min="59" max="63" width="21.59765625" customWidth="1"/>
    <col min="64" max="65" width="26.73046875" customWidth="1"/>
    <col min="66" max="66" width="17.265625" customWidth="1"/>
    <col min="67" max="67" width="20.59765625" customWidth="1"/>
    <col min="68" max="68" width="21" customWidth="1"/>
    <col min="69" max="69" width="17.59765625" customWidth="1"/>
    <col min="70" max="70" width="61" customWidth="1"/>
    <col min="71" max="72" width="36.1328125" customWidth="1"/>
    <col min="73" max="73" width="35.86328125" customWidth="1"/>
    <col min="74" max="74" width="75.1328125" customWidth="1"/>
  </cols>
  <sheetData>
    <row r="1" spans="1:74">
      <c r="A1" s="34" t="s">
        <v>219</v>
      </c>
      <c r="B1" s="34"/>
      <c r="C1" s="34"/>
      <c r="D1" s="34"/>
      <c r="E1" s="34"/>
      <c r="F1" s="34" t="s">
        <v>36</v>
      </c>
      <c r="G1" s="34"/>
      <c r="H1" s="34"/>
      <c r="I1" s="34"/>
      <c r="J1" s="34"/>
      <c r="K1" s="34"/>
      <c r="L1" s="34"/>
      <c r="M1" s="34"/>
      <c r="N1" s="34"/>
      <c r="O1" s="34"/>
      <c r="P1" s="34"/>
      <c r="Q1" s="34"/>
      <c r="R1" s="34"/>
      <c r="S1" s="34"/>
      <c r="T1" s="34"/>
      <c r="U1" s="34" t="s">
        <v>37</v>
      </c>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t="s">
        <v>38</v>
      </c>
      <c r="AZ1" s="34"/>
      <c r="BA1" s="34"/>
      <c r="BB1" s="34"/>
      <c r="BC1" s="34"/>
      <c r="BD1" s="34"/>
      <c r="BE1" s="34"/>
      <c r="BF1" s="5"/>
      <c r="BG1" s="34" t="s">
        <v>39</v>
      </c>
      <c r="BH1" s="34"/>
      <c r="BI1" s="34"/>
      <c r="BJ1" s="34"/>
      <c r="BK1" s="34"/>
      <c r="BL1" s="34"/>
      <c r="BM1" s="34"/>
      <c r="BN1" t="s">
        <v>474</v>
      </c>
      <c r="BO1" t="s">
        <v>40</v>
      </c>
      <c r="BP1" s="34" t="s">
        <v>41</v>
      </c>
      <c r="BQ1" s="34"/>
      <c r="BR1" s="35" t="s">
        <v>556</v>
      </c>
      <c r="BS1" s="35" t="s">
        <v>557</v>
      </c>
      <c r="BT1" s="35" t="s">
        <v>558</v>
      </c>
      <c r="BU1" s="34" t="s">
        <v>377</v>
      </c>
      <c r="BV1" s="34" t="s">
        <v>312</v>
      </c>
    </row>
    <row r="2" spans="1:74">
      <c r="A2" t="s">
        <v>54</v>
      </c>
      <c r="B2" t="s">
        <v>55</v>
      </c>
      <c r="C2" t="s">
        <v>56</v>
      </c>
      <c r="D2" t="s">
        <v>57</v>
      </c>
      <c r="E2" t="s">
        <v>58</v>
      </c>
      <c r="F2" t="s">
        <v>42</v>
      </c>
      <c r="G2" t="s">
        <v>330</v>
      </c>
      <c r="H2" t="s">
        <v>826</v>
      </c>
      <c r="I2" t="s">
        <v>43</v>
      </c>
      <c r="J2" t="s">
        <v>833</v>
      </c>
      <c r="K2" t="s">
        <v>832</v>
      </c>
      <c r="L2" t="s">
        <v>836</v>
      </c>
      <c r="M2" t="s">
        <v>837</v>
      </c>
      <c r="N2" t="s">
        <v>842</v>
      </c>
      <c r="O2" t="s">
        <v>852</v>
      </c>
      <c r="P2" t="s">
        <v>853</v>
      </c>
      <c r="Q2" t="s">
        <v>581</v>
      </c>
      <c r="R2" t="s">
        <v>44</v>
      </c>
      <c r="S2" t="s">
        <v>45</v>
      </c>
      <c r="T2" t="s">
        <v>526</v>
      </c>
      <c r="U2" t="s">
        <v>46</v>
      </c>
      <c r="V2" t="s">
        <v>919</v>
      </c>
      <c r="W2" t="s">
        <v>47</v>
      </c>
      <c r="X2" t="s">
        <v>257</v>
      </c>
      <c r="Y2" t="s">
        <v>256</v>
      </c>
      <c r="Z2" t="s">
        <v>318</v>
      </c>
      <c r="AA2" t="s">
        <v>275</v>
      </c>
      <c r="AB2" t="s">
        <v>258</v>
      </c>
      <c r="AC2" t="s">
        <v>259</v>
      </c>
      <c r="AD2" t="s">
        <v>462</v>
      </c>
      <c r="AE2" t="s">
        <v>733</v>
      </c>
      <c r="AF2" t="s">
        <v>260</v>
      </c>
      <c r="AG2" t="s">
        <v>261</v>
      </c>
      <c r="AH2" t="s">
        <v>262</v>
      </c>
      <c r="AI2" t="s">
        <v>48</v>
      </c>
      <c r="AJ2" t="s">
        <v>1068</v>
      </c>
      <c r="AK2" t="s">
        <v>1069</v>
      </c>
      <c r="AL2" s="12" t="s">
        <v>1070</v>
      </c>
      <c r="AM2" t="s">
        <v>606</v>
      </c>
      <c r="AN2" t="s">
        <v>334</v>
      </c>
      <c r="AO2" t="s">
        <v>335</v>
      </c>
      <c r="AP2" t="s">
        <v>320</v>
      </c>
      <c r="AQ2" t="s">
        <v>321</v>
      </c>
      <c r="AR2" t="s">
        <v>245</v>
      </c>
      <c r="AS2" t="s">
        <v>388</v>
      </c>
      <c r="AT2" t="s">
        <v>49</v>
      </c>
      <c r="AU2" t="s">
        <v>317</v>
      </c>
      <c r="AV2" t="s">
        <v>476</v>
      </c>
      <c r="AW2" t="s">
        <v>283</v>
      </c>
      <c r="AX2" t="s">
        <v>221</v>
      </c>
      <c r="AY2" t="s">
        <v>225</v>
      </c>
      <c r="AZ2" t="s">
        <v>360</v>
      </c>
      <c r="BA2" t="s">
        <v>361</v>
      </c>
      <c r="BB2" t="s">
        <v>362</v>
      </c>
      <c r="BC2" t="s">
        <v>363</v>
      </c>
      <c r="BD2" t="s">
        <v>364</v>
      </c>
      <c r="BE2" t="s">
        <v>365</v>
      </c>
      <c r="BF2" t="s">
        <v>591</v>
      </c>
      <c r="BG2" t="s">
        <v>232</v>
      </c>
      <c r="BH2" t="s">
        <v>231</v>
      </c>
      <c r="BI2" t="s">
        <v>236</v>
      </c>
      <c r="BJ2" t="s">
        <v>237</v>
      </c>
      <c r="BK2" t="s">
        <v>238</v>
      </c>
      <c r="BL2" t="s">
        <v>408</v>
      </c>
      <c r="BM2" t="s">
        <v>409</v>
      </c>
      <c r="BN2" t="s">
        <v>50</v>
      </c>
      <c r="BO2" t="s">
        <v>51</v>
      </c>
      <c r="BP2" t="s">
        <v>52</v>
      </c>
      <c r="BQ2" t="s">
        <v>53</v>
      </c>
      <c r="BR2" s="35"/>
      <c r="BS2" s="35"/>
      <c r="BT2" s="35"/>
      <c r="BU2" s="34"/>
      <c r="BV2" s="34"/>
    </row>
    <row r="3" spans="1:74" ht="14.25" customHeight="1">
      <c r="A3" t="s">
        <v>59</v>
      </c>
      <c r="B3" t="s">
        <v>60</v>
      </c>
      <c r="C3">
        <v>2023</v>
      </c>
      <c r="D3" t="s">
        <v>61</v>
      </c>
      <c r="E3" t="s">
        <v>62</v>
      </c>
      <c r="F3">
        <v>27</v>
      </c>
      <c r="G3" t="s">
        <v>331</v>
      </c>
      <c r="H3" t="s">
        <v>736</v>
      </c>
      <c r="I3" t="s">
        <v>735</v>
      </c>
      <c r="J3" t="s">
        <v>742</v>
      </c>
      <c r="K3" t="s">
        <v>736</v>
      </c>
      <c r="L3" t="s">
        <v>741</v>
      </c>
      <c r="M3" t="s">
        <v>736</v>
      </c>
      <c r="N3" t="s">
        <v>736</v>
      </c>
      <c r="O3" t="s">
        <v>736</v>
      </c>
      <c r="P3" t="s">
        <v>736</v>
      </c>
      <c r="Q3" t="s">
        <v>289</v>
      </c>
      <c r="R3">
        <v>16</v>
      </c>
      <c r="S3" t="s">
        <v>739</v>
      </c>
      <c r="T3" t="s">
        <v>875</v>
      </c>
      <c r="U3" t="s">
        <v>272</v>
      </c>
      <c r="V3" t="s">
        <v>920</v>
      </c>
      <c r="W3" t="s">
        <v>220</v>
      </c>
      <c r="X3">
        <v>2100</v>
      </c>
      <c r="Y3">
        <v>40</v>
      </c>
      <c r="Z3">
        <v>210</v>
      </c>
      <c r="AA3">
        <f>X3*Z3/60000</f>
        <v>7.35</v>
      </c>
      <c r="AB3" t="s">
        <v>263</v>
      </c>
      <c r="AC3">
        <v>1.5</v>
      </c>
      <c r="AD3" t="s">
        <v>267</v>
      </c>
      <c r="AE3" t="s">
        <v>736</v>
      </c>
      <c r="AF3" t="s">
        <v>269</v>
      </c>
      <c r="AG3" t="s">
        <v>266</v>
      </c>
      <c r="AH3" t="s">
        <v>268</v>
      </c>
      <c r="AI3" t="s">
        <v>223</v>
      </c>
      <c r="AJ3" t="s">
        <v>1072</v>
      </c>
      <c r="AK3">
        <v>12</v>
      </c>
      <c r="AL3" t="s">
        <v>1071</v>
      </c>
      <c r="AM3">
        <v>11</v>
      </c>
      <c r="AN3" t="s">
        <v>224</v>
      </c>
      <c r="AO3" t="s">
        <v>736</v>
      </c>
      <c r="AP3" t="s">
        <v>736</v>
      </c>
      <c r="AQ3" t="s">
        <v>736</v>
      </c>
      <c r="AR3">
        <v>8</v>
      </c>
      <c r="AS3" t="s">
        <v>389</v>
      </c>
      <c r="AT3" t="s">
        <v>996</v>
      </c>
      <c r="AU3" t="s">
        <v>269</v>
      </c>
      <c r="AV3" t="s">
        <v>736</v>
      </c>
      <c r="AW3" t="s">
        <v>285</v>
      </c>
      <c r="AX3" t="s">
        <v>222</v>
      </c>
      <c r="AY3" t="s">
        <v>226</v>
      </c>
      <c r="AZ3" t="s">
        <v>227</v>
      </c>
      <c r="BA3" t="s">
        <v>228</v>
      </c>
      <c r="BB3" t="s">
        <v>230</v>
      </c>
      <c r="BC3" t="s">
        <v>229</v>
      </c>
      <c r="BD3" t="s">
        <v>736</v>
      </c>
      <c r="BE3" t="s">
        <v>736</v>
      </c>
      <c r="BG3" t="s">
        <v>233</v>
      </c>
      <c r="BH3" t="s">
        <v>234</v>
      </c>
      <c r="BI3" t="s">
        <v>235</v>
      </c>
      <c r="BJ3" t="s">
        <v>239</v>
      </c>
      <c r="BK3" t="s">
        <v>240</v>
      </c>
      <c r="BM3" t="s">
        <v>736</v>
      </c>
      <c r="BN3" t="s">
        <v>736</v>
      </c>
      <c r="BO3" t="s">
        <v>736</v>
      </c>
      <c r="BP3" t="s">
        <v>736</v>
      </c>
      <c r="BQ3" t="s">
        <v>1038</v>
      </c>
      <c r="BR3" s="2" t="s">
        <v>241</v>
      </c>
      <c r="BS3" t="s">
        <v>736</v>
      </c>
      <c r="BT3" t="s">
        <v>736</v>
      </c>
      <c r="BU3" t="s">
        <v>736</v>
      </c>
      <c r="BV3" s="33" t="s">
        <v>716</v>
      </c>
    </row>
    <row r="4" spans="1:74" s="3" customFormat="1">
      <c r="A4" s="3" t="s">
        <v>63</v>
      </c>
      <c r="B4" s="3" t="s">
        <v>64</v>
      </c>
      <c r="C4" s="3">
        <v>2024</v>
      </c>
      <c r="D4" s="3" t="s">
        <v>65</v>
      </c>
      <c r="E4" s="3" t="s">
        <v>66</v>
      </c>
      <c r="F4" s="3">
        <v>63</v>
      </c>
      <c r="G4" s="3" t="s">
        <v>331</v>
      </c>
      <c r="H4" s="3" t="s">
        <v>734</v>
      </c>
      <c r="I4" s="3" t="s">
        <v>736</v>
      </c>
      <c r="J4" s="3" t="s">
        <v>736</v>
      </c>
      <c r="K4" t="s">
        <v>736</v>
      </c>
      <c r="L4" s="3" t="s">
        <v>1319</v>
      </c>
      <c r="M4" t="s">
        <v>736</v>
      </c>
      <c r="N4" t="s">
        <v>736</v>
      </c>
      <c r="O4" t="s">
        <v>736</v>
      </c>
      <c r="P4" t="s">
        <v>736</v>
      </c>
      <c r="Q4" s="3" t="s">
        <v>289</v>
      </c>
      <c r="R4" s="3">
        <v>16</v>
      </c>
      <c r="S4" t="s">
        <v>874</v>
      </c>
      <c r="T4" t="s">
        <v>876</v>
      </c>
      <c r="U4" s="3" t="s">
        <v>921</v>
      </c>
      <c r="V4" s="3" t="s">
        <v>242</v>
      </c>
      <c r="W4" s="3" t="s">
        <v>220</v>
      </c>
      <c r="X4" s="3">
        <v>2400</v>
      </c>
      <c r="Y4" s="3">
        <v>25</v>
      </c>
      <c r="Z4" s="3">
        <v>210</v>
      </c>
      <c r="AA4" s="3">
        <f t="shared" ref="AA4:AA21" si="0">X4*Z4/60000</f>
        <v>8.4</v>
      </c>
      <c r="AB4" s="3" t="s">
        <v>353</v>
      </c>
      <c r="AC4" s="3">
        <v>3</v>
      </c>
      <c r="AD4" s="3" t="s">
        <v>271</v>
      </c>
      <c r="AE4" t="s">
        <v>967</v>
      </c>
      <c r="AF4" s="3" t="s">
        <v>269</v>
      </c>
      <c r="AG4" s="3" t="s">
        <v>270</v>
      </c>
      <c r="AH4" t="s">
        <v>736</v>
      </c>
      <c r="AI4" s="3" t="s">
        <v>294</v>
      </c>
      <c r="AJ4" s="3" t="s">
        <v>992</v>
      </c>
      <c r="AK4" s="3" t="s">
        <v>910</v>
      </c>
      <c r="AL4" s="3" t="s">
        <v>910</v>
      </c>
      <c r="AM4" s="3" t="s">
        <v>244</v>
      </c>
      <c r="AN4" t="s">
        <v>736</v>
      </c>
      <c r="AO4" s="3">
        <v>44</v>
      </c>
      <c r="AP4" s="3">
        <v>2.4</v>
      </c>
      <c r="AQ4" s="3">
        <v>174</v>
      </c>
      <c r="AR4" s="3">
        <v>3</v>
      </c>
      <c r="AS4" s="3" t="s">
        <v>389</v>
      </c>
      <c r="AT4" s="3" t="s">
        <v>997</v>
      </c>
      <c r="AU4" s="3" t="s">
        <v>269</v>
      </c>
      <c r="AV4" t="s">
        <v>736</v>
      </c>
      <c r="AW4" s="3" t="s">
        <v>346</v>
      </c>
      <c r="AX4" t="s">
        <v>736</v>
      </c>
      <c r="AY4" s="3" t="s">
        <v>246</v>
      </c>
      <c r="AZ4" t="s">
        <v>736</v>
      </c>
      <c r="BA4" s="3" t="s">
        <v>247</v>
      </c>
      <c r="BB4" s="3" t="s">
        <v>249</v>
      </c>
      <c r="BC4" t="s">
        <v>736</v>
      </c>
      <c r="BD4" t="s">
        <v>736</v>
      </c>
      <c r="BE4" t="s">
        <v>736</v>
      </c>
      <c r="BF4" t="s">
        <v>736</v>
      </c>
      <c r="BG4" s="3" t="s">
        <v>252</v>
      </c>
      <c r="BH4" s="3" t="s">
        <v>251</v>
      </c>
      <c r="BI4" t="s">
        <v>736</v>
      </c>
      <c r="BJ4" t="s">
        <v>736</v>
      </c>
      <c r="BK4" t="s">
        <v>736</v>
      </c>
      <c r="BL4" s="3" t="s">
        <v>255</v>
      </c>
      <c r="BM4" t="s">
        <v>736</v>
      </c>
      <c r="BN4" t="s">
        <v>736</v>
      </c>
      <c r="BO4" t="s">
        <v>736</v>
      </c>
      <c r="BP4" t="s">
        <v>1004</v>
      </c>
      <c r="BQ4" t="s">
        <v>1039</v>
      </c>
      <c r="BR4" s="4" t="s">
        <v>253</v>
      </c>
      <c r="BS4" t="s">
        <v>736</v>
      </c>
      <c r="BT4" t="s">
        <v>736</v>
      </c>
      <c r="BU4" t="s">
        <v>736</v>
      </c>
      <c r="BV4" s="33"/>
    </row>
    <row r="5" spans="1:74" s="3" customFormat="1">
      <c r="A5" s="3" t="s">
        <v>63</v>
      </c>
      <c r="B5" s="3" t="s">
        <v>64</v>
      </c>
      <c r="C5" s="3">
        <v>2024</v>
      </c>
      <c r="D5" s="3" t="s">
        <v>65</v>
      </c>
      <c r="E5" s="3" t="s">
        <v>66</v>
      </c>
      <c r="F5" s="3">
        <v>52</v>
      </c>
      <c r="G5" s="3" t="s">
        <v>331</v>
      </c>
      <c r="H5" t="s">
        <v>736</v>
      </c>
      <c r="I5" t="s">
        <v>736</v>
      </c>
      <c r="J5" s="3" t="s">
        <v>736</v>
      </c>
      <c r="K5" t="s">
        <v>736</v>
      </c>
      <c r="L5" s="3" t="s">
        <v>1318</v>
      </c>
      <c r="M5" t="s">
        <v>736</v>
      </c>
      <c r="N5" t="s">
        <v>736</v>
      </c>
      <c r="O5" t="s">
        <v>736</v>
      </c>
      <c r="P5" t="s">
        <v>736</v>
      </c>
      <c r="Q5" s="3" t="s">
        <v>289</v>
      </c>
      <c r="R5" s="3">
        <v>17</v>
      </c>
      <c r="S5" t="s">
        <v>873</v>
      </c>
      <c r="T5" t="s">
        <v>736</v>
      </c>
      <c r="U5" s="3" t="s">
        <v>272</v>
      </c>
      <c r="V5" t="s">
        <v>922</v>
      </c>
      <c r="W5" s="3" t="s">
        <v>220</v>
      </c>
      <c r="X5" s="3">
        <v>776</v>
      </c>
      <c r="Y5" s="3">
        <v>37.4</v>
      </c>
      <c r="Z5" s="3">
        <v>617</v>
      </c>
      <c r="AA5" s="3">
        <f t="shared" si="0"/>
        <v>7.9798666666666671</v>
      </c>
      <c r="AB5" s="3" t="s">
        <v>264</v>
      </c>
      <c r="AC5" s="3">
        <v>3</v>
      </c>
      <c r="AD5" s="3" t="s">
        <v>271</v>
      </c>
      <c r="AE5" t="s">
        <v>968</v>
      </c>
      <c r="AF5" s="3" t="s">
        <v>269</v>
      </c>
      <c r="AG5" s="3" t="s">
        <v>270</v>
      </c>
      <c r="AH5" t="s">
        <v>736</v>
      </c>
      <c r="AI5" s="3" t="s">
        <v>294</v>
      </c>
      <c r="AJ5" s="3" t="s">
        <v>992</v>
      </c>
      <c r="AK5" s="3" t="s">
        <v>910</v>
      </c>
      <c r="AL5" s="3" t="s">
        <v>910</v>
      </c>
      <c r="AM5" s="3" t="s">
        <v>244</v>
      </c>
      <c r="AN5" t="s">
        <v>736</v>
      </c>
      <c r="AO5" s="3">
        <v>44</v>
      </c>
      <c r="AP5" s="3">
        <v>0.77600000000000002</v>
      </c>
      <c r="AQ5" s="3">
        <v>493</v>
      </c>
      <c r="AR5" s="3">
        <v>3</v>
      </c>
      <c r="AS5" s="3" t="s">
        <v>389</v>
      </c>
      <c r="AT5" s="3" t="s">
        <v>997</v>
      </c>
      <c r="AU5" s="3" t="s">
        <v>269</v>
      </c>
      <c r="AV5" t="s">
        <v>736</v>
      </c>
      <c r="AW5" s="3" t="s">
        <v>285</v>
      </c>
      <c r="AX5" t="s">
        <v>736</v>
      </c>
      <c r="AY5" s="3" t="s">
        <v>246</v>
      </c>
      <c r="AZ5" t="s">
        <v>736</v>
      </c>
      <c r="BA5" s="3" t="s">
        <v>247</v>
      </c>
      <c r="BB5" s="3" t="s">
        <v>248</v>
      </c>
      <c r="BC5" t="s">
        <v>736</v>
      </c>
      <c r="BD5" t="s">
        <v>736</v>
      </c>
      <c r="BE5" t="s">
        <v>736</v>
      </c>
      <c r="BF5" t="s">
        <v>736</v>
      </c>
      <c r="BG5" s="3" t="s">
        <v>250</v>
      </c>
      <c r="BH5" t="s">
        <v>736</v>
      </c>
      <c r="BI5" t="s">
        <v>736</v>
      </c>
      <c r="BJ5" t="s">
        <v>736</v>
      </c>
      <c r="BK5" t="s">
        <v>736</v>
      </c>
      <c r="BL5" s="3" t="s">
        <v>255</v>
      </c>
      <c r="BM5" t="s">
        <v>736</v>
      </c>
      <c r="BN5" t="s">
        <v>736</v>
      </c>
      <c r="BO5" t="s">
        <v>736</v>
      </c>
      <c r="BP5" t="s">
        <v>1004</v>
      </c>
      <c r="BQ5" t="s">
        <v>1039</v>
      </c>
      <c r="BR5" s="4" t="s">
        <v>254</v>
      </c>
      <c r="BS5" t="s">
        <v>736</v>
      </c>
      <c r="BT5" t="s">
        <v>736</v>
      </c>
      <c r="BU5" t="s">
        <v>736</v>
      </c>
      <c r="BV5" s="33"/>
    </row>
    <row r="6" spans="1:74">
      <c r="A6" t="s">
        <v>67</v>
      </c>
      <c r="B6" t="s">
        <v>68</v>
      </c>
      <c r="C6">
        <v>2023</v>
      </c>
      <c r="D6" t="s">
        <v>69</v>
      </c>
      <c r="E6" t="s">
        <v>70</v>
      </c>
      <c r="F6">
        <v>40</v>
      </c>
      <c r="G6" t="s">
        <v>331</v>
      </c>
      <c r="H6" t="s">
        <v>736</v>
      </c>
      <c r="I6" t="s">
        <v>737</v>
      </c>
      <c r="J6" t="s">
        <v>736</v>
      </c>
      <c r="K6" t="s">
        <v>736</v>
      </c>
      <c r="L6" t="s">
        <v>738</v>
      </c>
      <c r="M6" t="s">
        <v>736</v>
      </c>
      <c r="N6" t="s">
        <v>736</v>
      </c>
      <c r="O6" s="10">
        <v>2</v>
      </c>
      <c r="P6" t="s">
        <v>854</v>
      </c>
      <c r="Q6" t="s">
        <v>289</v>
      </c>
      <c r="R6" t="s">
        <v>736</v>
      </c>
      <c r="S6" t="s">
        <v>736</v>
      </c>
      <c r="T6" t="s">
        <v>877</v>
      </c>
      <c r="U6" t="s">
        <v>921</v>
      </c>
      <c r="V6" t="s">
        <v>923</v>
      </c>
      <c r="W6" t="s">
        <v>220</v>
      </c>
      <c r="X6">
        <v>859</v>
      </c>
      <c r="Y6">
        <v>34</v>
      </c>
      <c r="Z6">
        <v>700</v>
      </c>
      <c r="AA6">
        <f t="shared" si="0"/>
        <v>10.021666666666667</v>
      </c>
      <c r="AB6" t="s">
        <v>274</v>
      </c>
      <c r="AC6">
        <v>3</v>
      </c>
      <c r="AD6" t="s">
        <v>278</v>
      </c>
      <c r="AE6" t="s">
        <v>969</v>
      </c>
      <c r="AF6" t="s">
        <v>269</v>
      </c>
      <c r="AG6" t="s">
        <v>277</v>
      </c>
      <c r="AH6" t="s">
        <v>279</v>
      </c>
      <c r="AI6" t="s">
        <v>281</v>
      </c>
      <c r="AJ6" s="3" t="s">
        <v>992</v>
      </c>
      <c r="AK6" s="3" t="s">
        <v>910</v>
      </c>
      <c r="AL6" s="3" t="s">
        <v>910</v>
      </c>
      <c r="AM6" t="s">
        <v>280</v>
      </c>
      <c r="AN6" t="s">
        <v>736</v>
      </c>
      <c r="AO6">
        <v>21</v>
      </c>
      <c r="AP6" t="s">
        <v>736</v>
      </c>
      <c r="AQ6" t="s">
        <v>736</v>
      </c>
      <c r="AR6">
        <v>3</v>
      </c>
      <c r="AS6" t="s">
        <v>389</v>
      </c>
      <c r="AT6" t="s">
        <v>736</v>
      </c>
      <c r="AU6" t="s">
        <v>1105</v>
      </c>
      <c r="AV6" t="s">
        <v>736</v>
      </c>
      <c r="AW6" t="s">
        <v>284</v>
      </c>
      <c r="AX6" t="s">
        <v>736</v>
      </c>
      <c r="AY6" t="s">
        <v>282</v>
      </c>
      <c r="AZ6" t="s">
        <v>736</v>
      </c>
      <c r="BA6" t="s">
        <v>736</v>
      </c>
      <c r="BB6" t="s">
        <v>736</v>
      </c>
      <c r="BC6" t="s">
        <v>736</v>
      </c>
      <c r="BD6" t="s">
        <v>736</v>
      </c>
      <c r="BE6" t="s">
        <v>736</v>
      </c>
      <c r="BF6" t="s">
        <v>736</v>
      </c>
      <c r="BG6" t="s">
        <v>286</v>
      </c>
      <c r="BH6" t="s">
        <v>288</v>
      </c>
      <c r="BI6" t="s">
        <v>736</v>
      </c>
      <c r="BJ6" t="s">
        <v>736</v>
      </c>
      <c r="BK6" t="s">
        <v>736</v>
      </c>
      <c r="BL6" t="s">
        <v>736</v>
      </c>
      <c r="BM6" t="s">
        <v>736</v>
      </c>
      <c r="BN6" t="s">
        <v>736</v>
      </c>
      <c r="BO6" t="s">
        <v>736</v>
      </c>
      <c r="BP6" t="s">
        <v>1005</v>
      </c>
      <c r="BQ6" t="s">
        <v>1040</v>
      </c>
      <c r="BR6" t="s">
        <v>736</v>
      </c>
      <c r="BS6" s="6" t="s">
        <v>287</v>
      </c>
      <c r="BT6" t="s">
        <v>736</v>
      </c>
      <c r="BU6" s="9" t="s">
        <v>618</v>
      </c>
      <c r="BV6" s="33"/>
    </row>
    <row r="7" spans="1:74" s="3" customFormat="1">
      <c r="A7" s="3" t="s">
        <v>71</v>
      </c>
      <c r="B7" s="3" t="s">
        <v>72</v>
      </c>
      <c r="C7" s="3">
        <v>2024</v>
      </c>
      <c r="D7" s="3" t="s">
        <v>73</v>
      </c>
      <c r="E7" s="3" t="s">
        <v>74</v>
      </c>
      <c r="F7" s="3">
        <v>21</v>
      </c>
      <c r="G7" s="3" t="s">
        <v>331</v>
      </c>
      <c r="H7" t="s">
        <v>736</v>
      </c>
      <c r="I7" s="3" t="s">
        <v>740</v>
      </c>
      <c r="J7" s="3" t="s">
        <v>743</v>
      </c>
      <c r="K7" t="s">
        <v>736</v>
      </c>
      <c r="L7" s="3" t="s">
        <v>744</v>
      </c>
      <c r="M7" t="s">
        <v>736</v>
      </c>
      <c r="N7" s="3" t="s">
        <v>745</v>
      </c>
      <c r="O7" t="s">
        <v>736</v>
      </c>
      <c r="P7" t="s">
        <v>736</v>
      </c>
      <c r="Q7" s="3" t="s">
        <v>290</v>
      </c>
      <c r="R7" s="3">
        <v>29</v>
      </c>
      <c r="S7" s="3" t="s">
        <v>859</v>
      </c>
      <c r="T7" t="s">
        <v>878</v>
      </c>
      <c r="U7" s="3" t="s">
        <v>272</v>
      </c>
      <c r="V7" s="3" t="s">
        <v>924</v>
      </c>
      <c r="W7" s="3" t="s">
        <v>220</v>
      </c>
      <c r="X7" s="3">
        <v>2000</v>
      </c>
      <c r="Y7" s="3">
        <v>30</v>
      </c>
      <c r="Z7" s="3">
        <v>240</v>
      </c>
      <c r="AA7" s="3">
        <f t="shared" si="0"/>
        <v>8</v>
      </c>
      <c r="AB7" s="3" t="s">
        <v>263</v>
      </c>
      <c r="AC7" s="3">
        <v>3</v>
      </c>
      <c r="AD7" s="3" t="s">
        <v>949</v>
      </c>
      <c r="AE7" t="s">
        <v>970</v>
      </c>
      <c r="AF7" s="3" t="s">
        <v>269</v>
      </c>
      <c r="AG7" s="3" t="s">
        <v>270</v>
      </c>
      <c r="AH7" s="3" t="s">
        <v>292</v>
      </c>
      <c r="AI7" s="3" t="s">
        <v>294</v>
      </c>
      <c r="AJ7" t="s">
        <v>1073</v>
      </c>
      <c r="AK7">
        <v>3</v>
      </c>
      <c r="AL7" t="s">
        <v>1074</v>
      </c>
      <c r="AM7" s="3" t="s">
        <v>293</v>
      </c>
      <c r="AN7" t="s">
        <v>736</v>
      </c>
      <c r="AO7" s="3">
        <v>44</v>
      </c>
      <c r="AP7" s="3">
        <v>2</v>
      </c>
      <c r="AQ7" t="s">
        <v>736</v>
      </c>
      <c r="AR7" s="3">
        <v>4</v>
      </c>
      <c r="AS7" s="3" t="s">
        <v>389</v>
      </c>
      <c r="AT7" s="3" t="s">
        <v>997</v>
      </c>
      <c r="AU7" s="3" t="s">
        <v>269</v>
      </c>
      <c r="AV7" t="s">
        <v>736</v>
      </c>
      <c r="AW7" s="3" t="s">
        <v>285</v>
      </c>
      <c r="AX7" t="s">
        <v>736</v>
      </c>
      <c r="AY7" s="3" t="s">
        <v>350</v>
      </c>
      <c r="AZ7" t="s">
        <v>736</v>
      </c>
      <c r="BA7" s="3" t="s">
        <v>295</v>
      </c>
      <c r="BB7" s="3" t="s">
        <v>296</v>
      </c>
      <c r="BC7" s="3" t="s">
        <v>297</v>
      </c>
      <c r="BD7" s="3" t="s">
        <v>298</v>
      </c>
      <c r="BE7" t="s">
        <v>736</v>
      </c>
      <c r="BF7" t="s">
        <v>736</v>
      </c>
      <c r="BG7" s="3" t="s">
        <v>299</v>
      </c>
      <c r="BH7" s="3" t="s">
        <v>300</v>
      </c>
      <c r="BI7" t="s">
        <v>736</v>
      </c>
      <c r="BJ7" t="s">
        <v>736</v>
      </c>
      <c r="BK7" t="s">
        <v>736</v>
      </c>
      <c r="BL7" t="s">
        <v>736</v>
      </c>
      <c r="BM7" t="s">
        <v>736</v>
      </c>
      <c r="BN7" t="s">
        <v>736</v>
      </c>
      <c r="BO7" t="s">
        <v>736</v>
      </c>
      <c r="BP7" t="s">
        <v>1006</v>
      </c>
      <c r="BQ7" t="s">
        <v>1041</v>
      </c>
      <c r="BR7" s="4" t="s">
        <v>301</v>
      </c>
      <c r="BS7" t="s">
        <v>736</v>
      </c>
      <c r="BT7" t="s">
        <v>736</v>
      </c>
      <c r="BU7" t="s">
        <v>736</v>
      </c>
      <c r="BV7" s="33"/>
    </row>
    <row r="8" spans="1:74">
      <c r="A8" t="s">
        <v>75</v>
      </c>
      <c r="B8" t="s">
        <v>76</v>
      </c>
      <c r="C8">
        <v>2023</v>
      </c>
      <c r="D8" t="s">
        <v>77</v>
      </c>
      <c r="E8" t="s">
        <v>78</v>
      </c>
      <c r="F8">
        <v>41</v>
      </c>
      <c r="G8" t="s">
        <v>527</v>
      </c>
      <c r="H8" t="s">
        <v>736</v>
      </c>
      <c r="I8" t="s">
        <v>746</v>
      </c>
      <c r="J8" t="s">
        <v>755</v>
      </c>
      <c r="K8" t="s">
        <v>736</v>
      </c>
      <c r="L8" t="s">
        <v>756</v>
      </c>
      <c r="M8" t="s">
        <v>736</v>
      </c>
      <c r="N8" t="s">
        <v>807</v>
      </c>
      <c r="O8" t="s">
        <v>736</v>
      </c>
      <c r="P8" t="s">
        <v>736</v>
      </c>
      <c r="Q8" t="s">
        <v>302</v>
      </c>
      <c r="R8" t="s">
        <v>736</v>
      </c>
      <c r="S8" t="s">
        <v>736</v>
      </c>
      <c r="T8" t="s">
        <v>879</v>
      </c>
      <c r="U8" t="s">
        <v>272</v>
      </c>
      <c r="V8" t="s">
        <v>924</v>
      </c>
      <c r="W8" t="s">
        <v>220</v>
      </c>
      <c r="X8">
        <v>2000</v>
      </c>
      <c r="Y8">
        <v>21</v>
      </c>
      <c r="Z8">
        <v>240</v>
      </c>
      <c r="AA8">
        <f t="shared" si="0"/>
        <v>8</v>
      </c>
      <c r="AB8" t="s">
        <v>265</v>
      </c>
      <c r="AC8">
        <v>3</v>
      </c>
      <c r="AD8" t="s">
        <v>950</v>
      </c>
      <c r="AE8" t="s">
        <v>971</v>
      </c>
      <c r="AF8" t="s">
        <v>269</v>
      </c>
      <c r="AG8" t="s">
        <v>269</v>
      </c>
      <c r="AH8" t="s">
        <v>333</v>
      </c>
      <c r="AI8" t="s">
        <v>294</v>
      </c>
      <c r="AJ8" t="s">
        <v>1073</v>
      </c>
      <c r="AK8">
        <v>7</v>
      </c>
      <c r="AL8" t="s">
        <v>1075</v>
      </c>
      <c r="AM8" t="s">
        <v>303</v>
      </c>
      <c r="AN8" t="s">
        <v>736</v>
      </c>
      <c r="AO8">
        <v>60</v>
      </c>
      <c r="AP8">
        <v>2</v>
      </c>
      <c r="AQ8" t="s">
        <v>736</v>
      </c>
      <c r="AR8">
        <v>5</v>
      </c>
      <c r="AS8" t="s">
        <v>389</v>
      </c>
      <c r="AT8" t="s">
        <v>997</v>
      </c>
      <c r="AU8" t="s">
        <v>269</v>
      </c>
      <c r="AV8" t="s">
        <v>736</v>
      </c>
      <c r="AW8" t="s">
        <v>285</v>
      </c>
      <c r="AX8" t="s">
        <v>736</v>
      </c>
      <c r="AY8" t="s">
        <v>310</v>
      </c>
      <c r="AZ8" t="s">
        <v>736</v>
      </c>
      <c r="BA8" t="s">
        <v>304</v>
      </c>
      <c r="BB8" t="s">
        <v>305</v>
      </c>
      <c r="BC8" t="s">
        <v>736</v>
      </c>
      <c r="BD8" t="s">
        <v>736</v>
      </c>
      <c r="BE8" t="s">
        <v>736</v>
      </c>
      <c r="BF8" t="s">
        <v>736</v>
      </c>
      <c r="BG8" t="s">
        <v>306</v>
      </c>
      <c r="BH8" t="s">
        <v>736</v>
      </c>
      <c r="BI8" t="s">
        <v>736</v>
      </c>
      <c r="BJ8" t="s">
        <v>736</v>
      </c>
      <c r="BK8" t="s">
        <v>736</v>
      </c>
      <c r="BL8" t="s">
        <v>736</v>
      </c>
      <c r="BM8" t="s">
        <v>736</v>
      </c>
      <c r="BN8" t="s">
        <v>736</v>
      </c>
      <c r="BO8" t="s">
        <v>736</v>
      </c>
      <c r="BP8" t="s">
        <v>1007</v>
      </c>
      <c r="BQ8" t="s">
        <v>290</v>
      </c>
      <c r="BR8" t="s">
        <v>736</v>
      </c>
      <c r="BS8" s="6" t="s">
        <v>307</v>
      </c>
      <c r="BT8" s="6"/>
      <c r="BU8" s="6"/>
      <c r="BV8" s="33"/>
    </row>
    <row r="9" spans="1:74">
      <c r="A9" t="s">
        <v>75</v>
      </c>
      <c r="B9" t="s">
        <v>76</v>
      </c>
      <c r="C9">
        <v>2023</v>
      </c>
      <c r="D9" t="s">
        <v>77</v>
      </c>
      <c r="E9" t="s">
        <v>78</v>
      </c>
      <c r="F9">
        <v>34</v>
      </c>
      <c r="G9" t="s">
        <v>527</v>
      </c>
      <c r="H9" t="s">
        <v>736</v>
      </c>
      <c r="I9" t="s">
        <v>747</v>
      </c>
      <c r="J9" t="s">
        <v>757</v>
      </c>
      <c r="K9" t="s">
        <v>736</v>
      </c>
      <c r="L9" t="s">
        <v>758</v>
      </c>
      <c r="M9" t="s">
        <v>736</v>
      </c>
      <c r="N9" t="s">
        <v>808</v>
      </c>
      <c r="O9" t="s">
        <v>736</v>
      </c>
      <c r="P9" t="s">
        <v>736</v>
      </c>
      <c r="Q9" t="s">
        <v>302</v>
      </c>
      <c r="R9" t="s">
        <v>736</v>
      </c>
      <c r="S9" t="s">
        <v>736</v>
      </c>
      <c r="T9" t="s">
        <v>880</v>
      </c>
      <c r="U9" t="s">
        <v>736</v>
      </c>
      <c r="V9" t="s">
        <v>736</v>
      </c>
      <c r="W9" t="s">
        <v>736</v>
      </c>
      <c r="X9" t="s">
        <v>736</v>
      </c>
      <c r="Y9" t="s">
        <v>736</v>
      </c>
      <c r="Z9" t="s">
        <v>736</v>
      </c>
      <c r="AA9" t="s">
        <v>736</v>
      </c>
      <c r="AB9" t="s">
        <v>736</v>
      </c>
      <c r="AC9" t="s">
        <v>736</v>
      </c>
      <c r="AD9" t="s">
        <v>736</v>
      </c>
      <c r="AE9" t="s">
        <v>736</v>
      </c>
      <c r="AF9" t="s">
        <v>736</v>
      </c>
      <c r="AG9" t="s">
        <v>736</v>
      </c>
      <c r="AH9" t="s">
        <v>736</v>
      </c>
      <c r="AI9" t="s">
        <v>736</v>
      </c>
      <c r="AJ9" t="s">
        <v>736</v>
      </c>
      <c r="AK9" t="s">
        <v>736</v>
      </c>
      <c r="AL9" t="s">
        <v>736</v>
      </c>
      <c r="AM9" t="s">
        <v>736</v>
      </c>
      <c r="AN9" t="s">
        <v>736</v>
      </c>
      <c r="AO9" t="s">
        <v>736</v>
      </c>
      <c r="AP9" t="s">
        <v>736</v>
      </c>
      <c r="AQ9" t="s">
        <v>736</v>
      </c>
      <c r="AR9" t="s">
        <v>736</v>
      </c>
      <c r="AS9" t="s">
        <v>736</v>
      </c>
      <c r="AT9" t="s">
        <v>736</v>
      </c>
      <c r="AU9" t="s">
        <v>736</v>
      </c>
      <c r="AV9" t="s">
        <v>736</v>
      </c>
      <c r="AW9" t="s">
        <v>736</v>
      </c>
      <c r="AX9" t="s">
        <v>736</v>
      </c>
      <c r="AY9" t="s">
        <v>736</v>
      </c>
      <c r="AZ9" t="s">
        <v>736</v>
      </c>
      <c r="BA9" t="s">
        <v>736</v>
      </c>
      <c r="BB9" t="s">
        <v>736</v>
      </c>
      <c r="BC9" t="s">
        <v>736</v>
      </c>
      <c r="BD9" t="s">
        <v>736</v>
      </c>
      <c r="BE9" t="s">
        <v>736</v>
      </c>
      <c r="BF9" t="s">
        <v>736</v>
      </c>
      <c r="BG9" t="s">
        <v>736</v>
      </c>
      <c r="BH9" t="s">
        <v>736</v>
      </c>
      <c r="BI9" t="s">
        <v>736</v>
      </c>
      <c r="BJ9" t="s">
        <v>736</v>
      </c>
      <c r="BK9" t="s">
        <v>736</v>
      </c>
      <c r="BL9" t="s">
        <v>736</v>
      </c>
      <c r="BM9" t="s">
        <v>736</v>
      </c>
      <c r="BN9" t="s">
        <v>736</v>
      </c>
      <c r="BO9" t="s">
        <v>736</v>
      </c>
      <c r="BP9" t="s">
        <v>736</v>
      </c>
      <c r="BQ9" t="s">
        <v>736</v>
      </c>
      <c r="BR9" t="s">
        <v>736</v>
      </c>
      <c r="BS9" t="s">
        <v>736</v>
      </c>
      <c r="BT9" t="s">
        <v>736</v>
      </c>
      <c r="BU9" t="s">
        <v>736</v>
      </c>
      <c r="BV9" s="33"/>
    </row>
    <row r="10" spans="1:74" s="3" customFormat="1">
      <c r="A10" s="3" t="s">
        <v>79</v>
      </c>
      <c r="B10" s="3" t="s">
        <v>80</v>
      </c>
      <c r="C10" s="3">
        <v>2021</v>
      </c>
      <c r="D10" s="3" t="s">
        <v>81</v>
      </c>
      <c r="E10" s="3" t="s">
        <v>82</v>
      </c>
      <c r="F10" s="3">
        <v>21</v>
      </c>
      <c r="G10" s="3" t="s">
        <v>331</v>
      </c>
      <c r="H10" t="s">
        <v>736</v>
      </c>
      <c r="I10" s="3" t="s">
        <v>748</v>
      </c>
      <c r="J10" t="s">
        <v>736</v>
      </c>
      <c r="K10" t="s">
        <v>736</v>
      </c>
      <c r="L10" s="3" t="s">
        <v>759</v>
      </c>
      <c r="M10" t="s">
        <v>736</v>
      </c>
      <c r="N10" t="s">
        <v>736</v>
      </c>
      <c r="O10" s="3" t="s">
        <v>843</v>
      </c>
      <c r="P10" t="s">
        <v>736</v>
      </c>
      <c r="Q10" s="3" t="s">
        <v>289</v>
      </c>
      <c r="R10" s="3">
        <v>43</v>
      </c>
      <c r="S10" s="3" t="s">
        <v>860</v>
      </c>
      <c r="T10" t="s">
        <v>881</v>
      </c>
      <c r="U10" s="3" t="s">
        <v>272</v>
      </c>
      <c r="V10" s="3" t="s">
        <v>924</v>
      </c>
      <c r="W10" s="3" t="s">
        <v>220</v>
      </c>
      <c r="X10" s="3">
        <v>2000</v>
      </c>
      <c r="Y10" s="3">
        <v>30</v>
      </c>
      <c r="Z10" s="3">
        <v>240</v>
      </c>
      <c r="AA10" s="3">
        <f t="shared" si="0"/>
        <v>8</v>
      </c>
      <c r="AB10" s="3" t="s">
        <v>263</v>
      </c>
      <c r="AC10" s="3">
        <v>3</v>
      </c>
      <c r="AD10" s="3" t="s">
        <v>951</v>
      </c>
      <c r="AE10" t="s">
        <v>971</v>
      </c>
      <c r="AF10" s="3" t="s">
        <v>269</v>
      </c>
      <c r="AG10" s="3" t="s">
        <v>266</v>
      </c>
      <c r="AH10" s="3" t="s">
        <v>309</v>
      </c>
      <c r="AI10" s="3" t="s">
        <v>294</v>
      </c>
      <c r="AJ10" t="s">
        <v>1073</v>
      </c>
      <c r="AK10">
        <v>6</v>
      </c>
      <c r="AL10" t="s">
        <v>1076</v>
      </c>
      <c r="AM10" s="3" t="s">
        <v>308</v>
      </c>
      <c r="AN10" t="s">
        <v>736</v>
      </c>
      <c r="AO10" s="3">
        <v>44</v>
      </c>
      <c r="AP10" s="3">
        <v>2</v>
      </c>
      <c r="AQ10" s="3">
        <v>208</v>
      </c>
      <c r="AR10" s="3">
        <v>4</v>
      </c>
      <c r="AS10" s="3" t="s">
        <v>389</v>
      </c>
      <c r="AT10" s="3" t="s">
        <v>997</v>
      </c>
      <c r="AU10" s="3" t="s">
        <v>369</v>
      </c>
      <c r="AW10" s="3" t="s">
        <v>285</v>
      </c>
      <c r="AX10" t="s">
        <v>736</v>
      </c>
      <c r="AY10" s="3" t="s">
        <v>311</v>
      </c>
      <c r="AZ10" t="s">
        <v>736</v>
      </c>
      <c r="BA10" s="3" t="s">
        <v>313</v>
      </c>
      <c r="BB10" s="3" t="s">
        <v>316</v>
      </c>
      <c r="BC10" t="s">
        <v>736</v>
      </c>
      <c r="BD10" t="s">
        <v>736</v>
      </c>
      <c r="BE10" t="s">
        <v>736</v>
      </c>
      <c r="BG10" t="s">
        <v>736</v>
      </c>
      <c r="BH10" t="s">
        <v>736</v>
      </c>
      <c r="BI10" t="s">
        <v>736</v>
      </c>
      <c r="BJ10" t="s">
        <v>736</v>
      </c>
      <c r="BK10" t="s">
        <v>736</v>
      </c>
      <c r="BL10" s="3" t="s">
        <v>314</v>
      </c>
      <c r="BM10" t="s">
        <v>736</v>
      </c>
      <c r="BN10" t="s">
        <v>736</v>
      </c>
      <c r="BO10" t="s">
        <v>736</v>
      </c>
      <c r="BP10" t="s">
        <v>1008</v>
      </c>
      <c r="BQ10" t="s">
        <v>1042</v>
      </c>
      <c r="BS10" t="s">
        <v>736</v>
      </c>
      <c r="BT10" s="3" t="s">
        <v>315</v>
      </c>
      <c r="BV10" s="33"/>
    </row>
    <row r="11" spans="1:74" s="3" customFormat="1">
      <c r="A11" s="3" t="s">
        <v>79</v>
      </c>
      <c r="B11" s="3" t="s">
        <v>80</v>
      </c>
      <c r="C11" s="3">
        <v>2021</v>
      </c>
      <c r="D11" s="3" t="s">
        <v>81</v>
      </c>
      <c r="E11" s="3" t="s">
        <v>82</v>
      </c>
      <c r="F11" s="3">
        <v>34</v>
      </c>
      <c r="G11" s="3" t="s">
        <v>331</v>
      </c>
      <c r="H11" t="s">
        <v>736</v>
      </c>
      <c r="I11" s="3" t="s">
        <v>749</v>
      </c>
      <c r="J11" t="s">
        <v>736</v>
      </c>
      <c r="K11" t="s">
        <v>736</v>
      </c>
      <c r="L11" s="3" t="s">
        <v>760</v>
      </c>
      <c r="M11" t="s">
        <v>736</v>
      </c>
      <c r="N11" t="s">
        <v>736</v>
      </c>
      <c r="O11" s="3" t="s">
        <v>844</v>
      </c>
      <c r="P11" t="s">
        <v>736</v>
      </c>
      <c r="Q11" s="3" t="s">
        <v>289</v>
      </c>
      <c r="R11" s="3">
        <v>43</v>
      </c>
      <c r="S11" s="3" t="s">
        <v>860</v>
      </c>
      <c r="T11" t="s">
        <v>882</v>
      </c>
      <c r="U11" t="s">
        <v>736</v>
      </c>
      <c r="V11" t="s">
        <v>736</v>
      </c>
      <c r="W11" t="s">
        <v>736</v>
      </c>
      <c r="X11" t="s">
        <v>736</v>
      </c>
      <c r="Y11" t="s">
        <v>736</v>
      </c>
      <c r="Z11" t="s">
        <v>736</v>
      </c>
      <c r="AA11" t="s">
        <v>736</v>
      </c>
      <c r="AB11" t="s">
        <v>736</v>
      </c>
      <c r="AC11" t="s">
        <v>736</v>
      </c>
      <c r="AD11" t="s">
        <v>736</v>
      </c>
      <c r="AE11" t="s">
        <v>736</v>
      </c>
      <c r="AF11" t="s">
        <v>736</v>
      </c>
      <c r="AG11" t="s">
        <v>736</v>
      </c>
      <c r="AH11" t="s">
        <v>736</v>
      </c>
      <c r="AI11" t="s">
        <v>736</v>
      </c>
      <c r="AJ11" t="s">
        <v>736</v>
      </c>
      <c r="AK11" t="s">
        <v>736</v>
      </c>
      <c r="AL11" t="s">
        <v>736</v>
      </c>
      <c r="AM11" t="s">
        <v>736</v>
      </c>
      <c r="AN11" t="s">
        <v>736</v>
      </c>
      <c r="AO11" t="s">
        <v>736</v>
      </c>
      <c r="AP11" t="s">
        <v>736</v>
      </c>
      <c r="AQ11" t="s">
        <v>736</v>
      </c>
      <c r="AR11" t="s">
        <v>736</v>
      </c>
      <c r="AS11" t="s">
        <v>736</v>
      </c>
      <c r="AT11" t="s">
        <v>736</v>
      </c>
      <c r="AU11" t="s">
        <v>736</v>
      </c>
      <c r="AV11" t="s">
        <v>736</v>
      </c>
      <c r="AW11" t="s">
        <v>736</v>
      </c>
      <c r="AX11" t="s">
        <v>736</v>
      </c>
      <c r="AY11" t="s">
        <v>736</v>
      </c>
      <c r="AZ11" t="s">
        <v>736</v>
      </c>
      <c r="BA11" t="s">
        <v>736</v>
      </c>
      <c r="BB11" t="s">
        <v>736</v>
      </c>
      <c r="BC11" t="s">
        <v>736</v>
      </c>
      <c r="BD11" t="s">
        <v>736</v>
      </c>
      <c r="BE11" t="s">
        <v>736</v>
      </c>
      <c r="BF11" t="s">
        <v>736</v>
      </c>
      <c r="BG11" t="s">
        <v>736</v>
      </c>
      <c r="BH11" t="s">
        <v>736</v>
      </c>
      <c r="BI11" t="s">
        <v>736</v>
      </c>
      <c r="BJ11" t="s">
        <v>736</v>
      </c>
      <c r="BK11" t="s">
        <v>736</v>
      </c>
      <c r="BL11" t="s">
        <v>736</v>
      </c>
      <c r="BM11" t="s">
        <v>736</v>
      </c>
      <c r="BN11" t="s">
        <v>736</v>
      </c>
      <c r="BO11" t="s">
        <v>736</v>
      </c>
      <c r="BP11" t="s">
        <v>736</v>
      </c>
      <c r="BQ11" t="s">
        <v>736</v>
      </c>
      <c r="BR11" t="s">
        <v>736</v>
      </c>
      <c r="BS11" t="s">
        <v>736</v>
      </c>
      <c r="BT11" t="s">
        <v>736</v>
      </c>
      <c r="BU11" t="s">
        <v>736</v>
      </c>
      <c r="BV11" s="33"/>
    </row>
    <row r="12" spans="1:74">
      <c r="A12" t="s">
        <v>83</v>
      </c>
      <c r="B12" t="s">
        <v>84</v>
      </c>
      <c r="C12">
        <v>2018</v>
      </c>
      <c r="D12" t="s">
        <v>85</v>
      </c>
      <c r="E12" t="s">
        <v>86</v>
      </c>
      <c r="F12">
        <v>24</v>
      </c>
      <c r="G12" t="s">
        <v>331</v>
      </c>
      <c r="H12" t="s">
        <v>736</v>
      </c>
      <c r="I12" t="s">
        <v>750</v>
      </c>
      <c r="J12" t="s">
        <v>736</v>
      </c>
      <c r="K12" t="s">
        <v>736</v>
      </c>
      <c r="L12" t="s">
        <v>761</v>
      </c>
      <c r="M12" t="s">
        <v>736</v>
      </c>
      <c r="N12" t="s">
        <v>736</v>
      </c>
      <c r="O12" t="s">
        <v>736</v>
      </c>
      <c r="P12" t="s">
        <v>736</v>
      </c>
      <c r="Q12" t="s">
        <v>289</v>
      </c>
      <c r="R12">
        <v>27</v>
      </c>
      <c r="S12" t="s">
        <v>861</v>
      </c>
      <c r="T12" t="s">
        <v>736</v>
      </c>
      <c r="U12" t="s">
        <v>272</v>
      </c>
      <c r="V12" t="s">
        <v>925</v>
      </c>
      <c r="W12" t="s">
        <v>220</v>
      </c>
      <c r="X12">
        <v>2150</v>
      </c>
      <c r="Y12">
        <v>35</v>
      </c>
      <c r="Z12">
        <v>202</v>
      </c>
      <c r="AA12">
        <f t="shared" si="0"/>
        <v>7.2383333333333333</v>
      </c>
      <c r="AB12" t="s">
        <v>291</v>
      </c>
      <c r="AC12">
        <v>3</v>
      </c>
      <c r="AD12" t="s">
        <v>952</v>
      </c>
      <c r="AE12" t="s">
        <v>973</v>
      </c>
      <c r="AF12" t="s">
        <v>269</v>
      </c>
      <c r="AG12" t="s">
        <v>276</v>
      </c>
      <c r="AH12" t="s">
        <v>319</v>
      </c>
      <c r="AI12" t="s">
        <v>243</v>
      </c>
      <c r="AJ12" t="s">
        <v>1073</v>
      </c>
      <c r="AK12">
        <v>2</v>
      </c>
      <c r="AL12" t="s">
        <v>1077</v>
      </c>
      <c r="AM12" t="s">
        <v>322</v>
      </c>
      <c r="AN12" t="s">
        <v>736</v>
      </c>
      <c r="AO12">
        <v>60.2</v>
      </c>
      <c r="AP12">
        <v>10.75</v>
      </c>
      <c r="AQ12">
        <v>34</v>
      </c>
      <c r="AR12" t="s">
        <v>324</v>
      </c>
      <c r="AS12" t="s">
        <v>736</v>
      </c>
      <c r="AT12" t="s">
        <v>323</v>
      </c>
      <c r="AU12" s="3" t="s">
        <v>269</v>
      </c>
      <c r="AV12" t="s">
        <v>736</v>
      </c>
      <c r="AW12" t="s">
        <v>285</v>
      </c>
      <c r="AX12" t="s">
        <v>736</v>
      </c>
      <c r="AY12" t="s">
        <v>324</v>
      </c>
      <c r="AZ12" t="s">
        <v>325</v>
      </c>
      <c r="BA12" t="s">
        <v>326</v>
      </c>
      <c r="BC12" t="s">
        <v>736</v>
      </c>
      <c r="BD12" t="s">
        <v>736</v>
      </c>
      <c r="BE12" t="s">
        <v>736</v>
      </c>
      <c r="BF12" t="s">
        <v>736</v>
      </c>
      <c r="BG12" t="s">
        <v>328</v>
      </c>
      <c r="BH12" t="s">
        <v>736</v>
      </c>
      <c r="BI12" t="s">
        <v>736</v>
      </c>
      <c r="BJ12" t="s">
        <v>736</v>
      </c>
      <c r="BK12" t="s">
        <v>736</v>
      </c>
      <c r="BL12" t="s">
        <v>327</v>
      </c>
      <c r="BM12" t="s">
        <v>736</v>
      </c>
      <c r="BN12" t="s">
        <v>736</v>
      </c>
      <c r="BO12" t="s">
        <v>736</v>
      </c>
      <c r="BP12" t="s">
        <v>1009</v>
      </c>
      <c r="BQ12" t="s">
        <v>1043</v>
      </c>
      <c r="BR12" t="s">
        <v>736</v>
      </c>
      <c r="BT12" t="s">
        <v>329</v>
      </c>
      <c r="BV12" s="33"/>
    </row>
    <row r="13" spans="1:74" s="3" customFormat="1">
      <c r="A13" s="3" t="s">
        <v>87</v>
      </c>
      <c r="B13" s="3" t="s">
        <v>88</v>
      </c>
      <c r="C13" s="3">
        <v>2021</v>
      </c>
      <c r="D13" s="3" t="s">
        <v>89</v>
      </c>
      <c r="E13" s="3" t="s">
        <v>90</v>
      </c>
      <c r="F13" s="3">
        <v>45</v>
      </c>
      <c r="G13" s="3" t="s">
        <v>331</v>
      </c>
      <c r="H13" t="s">
        <v>736</v>
      </c>
      <c r="I13" s="3" t="s">
        <v>751</v>
      </c>
      <c r="J13" t="s">
        <v>736</v>
      </c>
      <c r="K13" t="s">
        <v>736</v>
      </c>
      <c r="L13" s="3" t="s">
        <v>762</v>
      </c>
      <c r="M13" t="s">
        <v>736</v>
      </c>
      <c r="N13" t="s">
        <v>736</v>
      </c>
      <c r="O13" s="3" t="s">
        <v>580</v>
      </c>
      <c r="P13" t="s">
        <v>736</v>
      </c>
      <c r="Q13" s="3" t="s">
        <v>289</v>
      </c>
      <c r="R13" s="3">
        <v>37</v>
      </c>
      <c r="S13" s="3" t="s">
        <v>862</v>
      </c>
      <c r="T13" t="s">
        <v>883</v>
      </c>
      <c r="U13" s="3" t="s">
        <v>272</v>
      </c>
      <c r="V13" s="3" t="s">
        <v>924</v>
      </c>
      <c r="W13" s="3" t="s">
        <v>220</v>
      </c>
      <c r="X13" s="3">
        <v>2000</v>
      </c>
      <c r="Y13" s="3">
        <v>21</v>
      </c>
      <c r="Z13" s="3">
        <v>240</v>
      </c>
      <c r="AA13" s="3">
        <f t="shared" si="0"/>
        <v>8</v>
      </c>
      <c r="AB13" s="3" t="s">
        <v>265</v>
      </c>
      <c r="AC13" s="3">
        <v>3</v>
      </c>
      <c r="AD13" s="3" t="s">
        <v>273</v>
      </c>
      <c r="AE13" s="3" t="s">
        <v>972</v>
      </c>
      <c r="AF13" s="3" t="s">
        <v>269</v>
      </c>
      <c r="AG13" s="3" t="s">
        <v>266</v>
      </c>
      <c r="AH13" s="3" t="s">
        <v>332</v>
      </c>
      <c r="AI13" s="3" t="s">
        <v>294</v>
      </c>
      <c r="AJ13" t="s">
        <v>1073</v>
      </c>
      <c r="AK13">
        <v>8</v>
      </c>
      <c r="AL13" t="s">
        <v>1078</v>
      </c>
      <c r="AM13" s="3" t="s">
        <v>342</v>
      </c>
      <c r="AN13" t="s">
        <v>736</v>
      </c>
      <c r="AO13" s="3">
        <v>40</v>
      </c>
      <c r="AP13" s="3">
        <v>2</v>
      </c>
      <c r="AR13" s="3">
        <v>4</v>
      </c>
      <c r="AS13" s="3" t="s">
        <v>389</v>
      </c>
      <c r="AT13" s="3" t="s">
        <v>997</v>
      </c>
      <c r="AU13" s="3" t="s">
        <v>269</v>
      </c>
      <c r="AV13" t="s">
        <v>736</v>
      </c>
      <c r="AW13" s="3" t="s">
        <v>336</v>
      </c>
      <c r="AX13" t="s">
        <v>736</v>
      </c>
      <c r="AY13" s="3" t="s">
        <v>337</v>
      </c>
      <c r="AZ13" t="s">
        <v>736</v>
      </c>
      <c r="BA13" s="3" t="s">
        <v>338</v>
      </c>
      <c r="BB13" s="3" t="s">
        <v>339</v>
      </c>
      <c r="BC13" t="s">
        <v>736</v>
      </c>
      <c r="BD13" t="s">
        <v>736</v>
      </c>
      <c r="BE13" t="s">
        <v>736</v>
      </c>
      <c r="BF13" t="s">
        <v>736</v>
      </c>
      <c r="BG13" t="s">
        <v>736</v>
      </c>
      <c r="BH13" t="s">
        <v>736</v>
      </c>
      <c r="BI13" t="s">
        <v>736</v>
      </c>
      <c r="BJ13" t="s">
        <v>736</v>
      </c>
      <c r="BK13" t="s">
        <v>736</v>
      </c>
      <c r="BL13" t="s">
        <v>736</v>
      </c>
      <c r="BM13" t="s">
        <v>736</v>
      </c>
      <c r="BN13" t="s">
        <v>736</v>
      </c>
      <c r="BO13" t="s">
        <v>736</v>
      </c>
      <c r="BP13" t="s">
        <v>1010</v>
      </c>
      <c r="BQ13" t="s">
        <v>1044</v>
      </c>
      <c r="BR13" s="4" t="s">
        <v>340</v>
      </c>
      <c r="BS13" t="s">
        <v>736</v>
      </c>
      <c r="BT13" t="s">
        <v>736</v>
      </c>
      <c r="BU13" t="s">
        <v>736</v>
      </c>
      <c r="BV13" s="33"/>
    </row>
    <row r="14" spans="1:74" s="3" customFormat="1">
      <c r="A14" s="3" t="s">
        <v>87</v>
      </c>
      <c r="B14" s="3" t="s">
        <v>88</v>
      </c>
      <c r="C14" s="3">
        <v>2021</v>
      </c>
      <c r="D14" s="3" t="s">
        <v>89</v>
      </c>
      <c r="E14" s="3" t="s">
        <v>90</v>
      </c>
      <c r="F14" s="3">
        <v>81</v>
      </c>
      <c r="G14" s="3" t="s">
        <v>331</v>
      </c>
      <c r="H14" t="s">
        <v>736</v>
      </c>
      <c r="I14" s="3" t="s">
        <v>752</v>
      </c>
      <c r="J14" t="s">
        <v>736</v>
      </c>
      <c r="K14" t="s">
        <v>736</v>
      </c>
      <c r="L14" s="3" t="s">
        <v>763</v>
      </c>
      <c r="M14" t="s">
        <v>736</v>
      </c>
      <c r="N14" t="s">
        <v>736</v>
      </c>
      <c r="O14" s="3" t="s">
        <v>845</v>
      </c>
      <c r="P14" t="s">
        <v>736</v>
      </c>
      <c r="Q14" s="3" t="s">
        <v>289</v>
      </c>
      <c r="R14" s="3">
        <v>37</v>
      </c>
      <c r="S14" t="s">
        <v>736</v>
      </c>
      <c r="T14" t="s">
        <v>884</v>
      </c>
      <c r="U14" t="s">
        <v>736</v>
      </c>
      <c r="V14" t="s">
        <v>736</v>
      </c>
      <c r="W14" t="s">
        <v>736</v>
      </c>
      <c r="X14" t="s">
        <v>736</v>
      </c>
      <c r="Y14" t="s">
        <v>736</v>
      </c>
      <c r="Z14" t="s">
        <v>736</v>
      </c>
      <c r="AA14" t="s">
        <v>736</v>
      </c>
      <c r="AB14" t="s">
        <v>736</v>
      </c>
      <c r="AC14" t="s">
        <v>736</v>
      </c>
      <c r="AD14" t="s">
        <v>736</v>
      </c>
      <c r="AE14" t="s">
        <v>736</v>
      </c>
      <c r="AF14" t="s">
        <v>736</v>
      </c>
      <c r="AG14" t="s">
        <v>736</v>
      </c>
      <c r="AH14" t="s">
        <v>736</v>
      </c>
      <c r="AI14" t="s">
        <v>736</v>
      </c>
      <c r="AJ14" t="s">
        <v>736</v>
      </c>
      <c r="AK14" t="s">
        <v>736</v>
      </c>
      <c r="AL14" t="s">
        <v>736</v>
      </c>
      <c r="AM14" t="s">
        <v>736</v>
      </c>
      <c r="AN14" t="s">
        <v>736</v>
      </c>
      <c r="AO14" t="s">
        <v>736</v>
      </c>
      <c r="AP14" t="s">
        <v>736</v>
      </c>
      <c r="AQ14" t="s">
        <v>736</v>
      </c>
      <c r="AR14" t="s">
        <v>736</v>
      </c>
      <c r="AS14" t="s">
        <v>736</v>
      </c>
      <c r="AT14" t="s">
        <v>736</v>
      </c>
      <c r="AU14" t="s">
        <v>736</v>
      </c>
      <c r="AV14" t="s">
        <v>736</v>
      </c>
      <c r="AW14" t="s">
        <v>736</v>
      </c>
      <c r="AX14" t="s">
        <v>736</v>
      </c>
      <c r="AY14" t="s">
        <v>736</v>
      </c>
      <c r="AZ14" t="s">
        <v>736</v>
      </c>
      <c r="BA14" t="s">
        <v>736</v>
      </c>
      <c r="BB14" t="s">
        <v>736</v>
      </c>
      <c r="BC14" t="s">
        <v>736</v>
      </c>
      <c r="BD14" t="s">
        <v>736</v>
      </c>
      <c r="BE14" t="s">
        <v>736</v>
      </c>
      <c r="BF14" t="s">
        <v>736</v>
      </c>
      <c r="BG14" t="s">
        <v>736</v>
      </c>
      <c r="BH14" t="s">
        <v>736</v>
      </c>
      <c r="BI14" t="s">
        <v>736</v>
      </c>
      <c r="BJ14" t="s">
        <v>736</v>
      </c>
      <c r="BK14" t="s">
        <v>736</v>
      </c>
      <c r="BL14" t="s">
        <v>736</v>
      </c>
      <c r="BM14" t="s">
        <v>736</v>
      </c>
      <c r="BN14" t="s">
        <v>736</v>
      </c>
      <c r="BO14" t="s">
        <v>736</v>
      </c>
      <c r="BP14" t="s">
        <v>736</v>
      </c>
      <c r="BQ14" t="s">
        <v>736</v>
      </c>
      <c r="BR14" t="s">
        <v>736</v>
      </c>
      <c r="BS14" t="s">
        <v>736</v>
      </c>
      <c r="BT14" t="s">
        <v>736</v>
      </c>
      <c r="BU14" t="s">
        <v>736</v>
      </c>
      <c r="BV14" s="33"/>
    </row>
    <row r="15" spans="1:74">
      <c r="A15" t="s">
        <v>91</v>
      </c>
      <c r="B15" t="s">
        <v>92</v>
      </c>
      <c r="C15">
        <v>2023</v>
      </c>
      <c r="D15" t="s">
        <v>85</v>
      </c>
      <c r="E15" t="s">
        <v>93</v>
      </c>
      <c r="F15">
        <v>16</v>
      </c>
      <c r="G15" t="s">
        <v>331</v>
      </c>
      <c r="H15" t="s">
        <v>736</v>
      </c>
      <c r="I15" s="10">
        <v>70.75</v>
      </c>
      <c r="J15" t="s">
        <v>736</v>
      </c>
      <c r="K15" t="s">
        <v>736</v>
      </c>
      <c r="L15" t="s">
        <v>736</v>
      </c>
      <c r="M15" t="s">
        <v>840</v>
      </c>
      <c r="N15" t="s">
        <v>736</v>
      </c>
      <c r="O15" t="s">
        <v>846</v>
      </c>
      <c r="P15" t="s">
        <v>736</v>
      </c>
      <c r="Q15" t="s">
        <v>289</v>
      </c>
      <c r="R15" t="s">
        <v>736</v>
      </c>
      <c r="S15" t="s">
        <v>736</v>
      </c>
      <c r="T15" t="s">
        <v>885</v>
      </c>
      <c r="U15" t="s">
        <v>921</v>
      </c>
      <c r="V15" t="s">
        <v>242</v>
      </c>
      <c r="W15" t="s">
        <v>220</v>
      </c>
      <c r="X15">
        <v>2500</v>
      </c>
      <c r="Y15">
        <v>30</v>
      </c>
      <c r="Z15">
        <v>240</v>
      </c>
      <c r="AA15">
        <f t="shared" si="0"/>
        <v>10</v>
      </c>
      <c r="AB15" t="s">
        <v>341</v>
      </c>
      <c r="AC15">
        <v>3</v>
      </c>
      <c r="AD15" t="s">
        <v>345</v>
      </c>
      <c r="AE15" t="s">
        <v>971</v>
      </c>
      <c r="AF15" t="s">
        <v>269</v>
      </c>
      <c r="AG15" t="s">
        <v>266</v>
      </c>
      <c r="AH15" t="s">
        <v>344</v>
      </c>
      <c r="AI15" t="s">
        <v>294</v>
      </c>
      <c r="AJ15" t="s">
        <v>1073</v>
      </c>
      <c r="AK15">
        <v>7</v>
      </c>
      <c r="AL15" t="s">
        <v>1079</v>
      </c>
      <c r="AM15" t="s">
        <v>343</v>
      </c>
      <c r="AN15" t="s">
        <v>736</v>
      </c>
      <c r="AO15">
        <v>45</v>
      </c>
      <c r="AP15">
        <v>2.5</v>
      </c>
      <c r="AQ15">
        <v>212</v>
      </c>
      <c r="AR15">
        <v>4</v>
      </c>
      <c r="AS15" t="s">
        <v>389</v>
      </c>
      <c r="AT15" t="s">
        <v>997</v>
      </c>
      <c r="AU15" t="s">
        <v>269</v>
      </c>
      <c r="AV15" t="s">
        <v>736</v>
      </c>
      <c r="AW15" t="s">
        <v>346</v>
      </c>
      <c r="AX15" t="s">
        <v>736</v>
      </c>
      <c r="AY15" t="s">
        <v>347</v>
      </c>
      <c r="AZ15" t="s">
        <v>736</v>
      </c>
      <c r="BA15" t="s">
        <v>348</v>
      </c>
      <c r="BC15" t="s">
        <v>736</v>
      </c>
      <c r="BD15" t="s">
        <v>736</v>
      </c>
      <c r="BE15" t="s">
        <v>736</v>
      </c>
      <c r="BF15" t="s">
        <v>736</v>
      </c>
      <c r="BG15" t="s">
        <v>736</v>
      </c>
      <c r="BH15" t="s">
        <v>736</v>
      </c>
      <c r="BI15" t="s">
        <v>736</v>
      </c>
      <c r="BJ15" t="s">
        <v>736</v>
      </c>
      <c r="BK15" t="s">
        <v>736</v>
      </c>
      <c r="BL15" t="s">
        <v>736</v>
      </c>
      <c r="BM15" t="s">
        <v>736</v>
      </c>
      <c r="BN15" t="s">
        <v>736</v>
      </c>
      <c r="BO15" t="s">
        <v>736</v>
      </c>
      <c r="BP15" t="s">
        <v>1011</v>
      </c>
      <c r="BQ15" t="s">
        <v>1045</v>
      </c>
      <c r="BR15" t="s">
        <v>736</v>
      </c>
      <c r="BS15" s="6" t="s">
        <v>349</v>
      </c>
      <c r="BT15" t="s">
        <v>736</v>
      </c>
      <c r="BU15" t="s">
        <v>736</v>
      </c>
      <c r="BV15" s="33"/>
    </row>
    <row r="16" spans="1:74">
      <c r="A16" t="s">
        <v>91</v>
      </c>
      <c r="B16" t="s">
        <v>92</v>
      </c>
      <c r="C16">
        <v>2023</v>
      </c>
      <c r="D16" t="s">
        <v>85</v>
      </c>
      <c r="E16" t="s">
        <v>93</v>
      </c>
      <c r="F16">
        <v>41</v>
      </c>
      <c r="G16" t="s">
        <v>331</v>
      </c>
      <c r="H16" t="s">
        <v>736</v>
      </c>
      <c r="I16" s="10">
        <v>62</v>
      </c>
      <c r="J16" t="s">
        <v>736</v>
      </c>
      <c r="K16" t="s">
        <v>736</v>
      </c>
      <c r="L16" t="s">
        <v>736</v>
      </c>
      <c r="M16" t="s">
        <v>841</v>
      </c>
      <c r="N16" t="s">
        <v>736</v>
      </c>
      <c r="O16" t="s">
        <v>846</v>
      </c>
      <c r="P16" t="s">
        <v>736</v>
      </c>
      <c r="Q16" t="s">
        <v>289</v>
      </c>
      <c r="R16" t="s">
        <v>736</v>
      </c>
      <c r="S16" t="s">
        <v>736</v>
      </c>
      <c r="T16" t="s">
        <v>886</v>
      </c>
      <c r="U16" t="s">
        <v>736</v>
      </c>
      <c r="V16" t="s">
        <v>736</v>
      </c>
      <c r="W16" t="s">
        <v>736</v>
      </c>
      <c r="X16" t="s">
        <v>736</v>
      </c>
      <c r="Y16" t="s">
        <v>736</v>
      </c>
      <c r="Z16" t="s">
        <v>736</v>
      </c>
      <c r="AA16" t="s">
        <v>736</v>
      </c>
      <c r="AB16" t="s">
        <v>736</v>
      </c>
      <c r="AC16" t="s">
        <v>736</v>
      </c>
      <c r="AD16" t="s">
        <v>736</v>
      </c>
      <c r="AE16" t="s">
        <v>736</v>
      </c>
      <c r="AF16" t="s">
        <v>736</v>
      </c>
      <c r="AG16" t="s">
        <v>736</v>
      </c>
      <c r="AH16" t="s">
        <v>736</v>
      </c>
      <c r="AI16" t="s">
        <v>736</v>
      </c>
      <c r="AJ16" t="s">
        <v>736</v>
      </c>
      <c r="AK16" t="s">
        <v>736</v>
      </c>
      <c r="AL16" t="s">
        <v>736</v>
      </c>
      <c r="AM16" t="s">
        <v>736</v>
      </c>
      <c r="AN16" t="s">
        <v>736</v>
      </c>
      <c r="AO16" t="s">
        <v>736</v>
      </c>
      <c r="AP16" t="s">
        <v>736</v>
      </c>
      <c r="AQ16" t="s">
        <v>736</v>
      </c>
      <c r="AR16" t="s">
        <v>736</v>
      </c>
      <c r="AS16" t="s">
        <v>736</v>
      </c>
      <c r="AT16" t="s">
        <v>736</v>
      </c>
      <c r="AU16" t="s">
        <v>736</v>
      </c>
      <c r="AV16" t="s">
        <v>736</v>
      </c>
      <c r="AW16" t="s">
        <v>736</v>
      </c>
      <c r="AX16" t="s">
        <v>736</v>
      </c>
      <c r="AY16" t="s">
        <v>736</v>
      </c>
      <c r="AZ16" t="s">
        <v>736</v>
      </c>
      <c r="BA16" t="s">
        <v>736</v>
      </c>
      <c r="BB16" t="s">
        <v>736</v>
      </c>
      <c r="BC16" t="s">
        <v>736</v>
      </c>
      <c r="BD16" t="s">
        <v>736</v>
      </c>
      <c r="BE16" t="s">
        <v>736</v>
      </c>
      <c r="BF16" t="s">
        <v>736</v>
      </c>
      <c r="BG16" t="s">
        <v>736</v>
      </c>
      <c r="BH16" t="s">
        <v>736</v>
      </c>
      <c r="BI16" t="s">
        <v>736</v>
      </c>
      <c r="BJ16" t="s">
        <v>736</v>
      </c>
      <c r="BK16" t="s">
        <v>736</v>
      </c>
      <c r="BL16" t="s">
        <v>736</v>
      </c>
      <c r="BM16" t="s">
        <v>736</v>
      </c>
      <c r="BN16" t="s">
        <v>736</v>
      </c>
      <c r="BO16" t="s">
        <v>736</v>
      </c>
      <c r="BP16" t="s">
        <v>736</v>
      </c>
      <c r="BQ16" t="s">
        <v>736</v>
      </c>
      <c r="BR16" t="s">
        <v>736</v>
      </c>
      <c r="BS16" t="s">
        <v>736</v>
      </c>
      <c r="BT16" t="s">
        <v>736</v>
      </c>
      <c r="BU16" t="s">
        <v>736</v>
      </c>
      <c r="BV16" s="33"/>
    </row>
    <row r="17" spans="1:74" s="3" customFormat="1">
      <c r="A17" s="3" t="s">
        <v>94</v>
      </c>
      <c r="B17" s="3" t="s">
        <v>95</v>
      </c>
      <c r="C17" s="3">
        <v>2023</v>
      </c>
      <c r="D17" s="3" t="s">
        <v>96</v>
      </c>
      <c r="E17" s="3" t="s">
        <v>97</v>
      </c>
      <c r="F17" s="3">
        <v>20</v>
      </c>
      <c r="G17" s="3" t="s">
        <v>351</v>
      </c>
      <c r="H17" t="s">
        <v>736</v>
      </c>
      <c r="I17" s="3" t="s">
        <v>753</v>
      </c>
      <c r="J17" s="3" t="s">
        <v>764</v>
      </c>
      <c r="K17" t="s">
        <v>736</v>
      </c>
      <c r="L17" t="s">
        <v>736</v>
      </c>
      <c r="M17" t="s">
        <v>736</v>
      </c>
      <c r="N17" s="3" t="s">
        <v>847</v>
      </c>
      <c r="O17" t="s">
        <v>736</v>
      </c>
      <c r="P17" t="s">
        <v>736</v>
      </c>
      <c r="Q17" s="3" t="s">
        <v>289</v>
      </c>
      <c r="R17" s="3">
        <v>19</v>
      </c>
      <c r="S17" s="3" t="s">
        <v>352</v>
      </c>
      <c r="T17" t="s">
        <v>887</v>
      </c>
      <c r="U17" s="3" t="s">
        <v>921</v>
      </c>
      <c r="V17" s="3" t="s">
        <v>242</v>
      </c>
      <c r="W17" s="3" t="s">
        <v>220</v>
      </c>
      <c r="X17" s="3">
        <v>2400</v>
      </c>
      <c r="Y17" s="3">
        <v>25</v>
      </c>
      <c r="Z17" s="3">
        <v>210</v>
      </c>
      <c r="AA17" s="3">
        <f t="shared" si="0"/>
        <v>8.4</v>
      </c>
      <c r="AB17" s="3" t="s">
        <v>353</v>
      </c>
      <c r="AC17" s="3">
        <v>3</v>
      </c>
      <c r="AD17" s="3" t="s">
        <v>345</v>
      </c>
      <c r="AF17" s="3" t="s">
        <v>269</v>
      </c>
      <c r="AG17" s="3" t="s">
        <v>266</v>
      </c>
      <c r="AH17" s="3" t="s">
        <v>344</v>
      </c>
      <c r="AI17" s="3" t="s">
        <v>294</v>
      </c>
      <c r="AJ17" t="s">
        <v>1073</v>
      </c>
      <c r="AK17">
        <v>7</v>
      </c>
      <c r="AL17" t="s">
        <v>1080</v>
      </c>
      <c r="AM17" s="3" t="s">
        <v>354</v>
      </c>
      <c r="AN17" t="s">
        <v>736</v>
      </c>
      <c r="AO17" s="3">
        <v>52.8</v>
      </c>
      <c r="AP17" s="3">
        <v>2.4</v>
      </c>
      <c r="AQ17" s="3">
        <v>178</v>
      </c>
      <c r="AR17" s="3">
        <v>4</v>
      </c>
      <c r="AS17" s="3" t="s">
        <v>389</v>
      </c>
      <c r="AT17" s="3" t="s">
        <v>997</v>
      </c>
      <c r="AU17" s="3" t="s">
        <v>269</v>
      </c>
      <c r="AV17" t="s">
        <v>736</v>
      </c>
      <c r="AW17" s="3" t="s">
        <v>346</v>
      </c>
      <c r="AX17" t="s">
        <v>736</v>
      </c>
      <c r="AY17" s="3" t="s">
        <v>355</v>
      </c>
      <c r="AZ17" t="s">
        <v>736</v>
      </c>
      <c r="BA17" s="3" t="s">
        <v>356</v>
      </c>
      <c r="BB17" s="3" t="s">
        <v>357</v>
      </c>
      <c r="BC17" t="s">
        <v>736</v>
      </c>
      <c r="BD17" t="s">
        <v>736</v>
      </c>
      <c r="BE17" t="s">
        <v>736</v>
      </c>
      <c r="BF17" t="s">
        <v>736</v>
      </c>
      <c r="BG17" t="s">
        <v>736</v>
      </c>
      <c r="BH17" t="s">
        <v>736</v>
      </c>
      <c r="BI17" t="s">
        <v>736</v>
      </c>
      <c r="BJ17" t="s">
        <v>736</v>
      </c>
      <c r="BK17" t="s">
        <v>736</v>
      </c>
      <c r="BL17" s="3" t="s">
        <v>358</v>
      </c>
      <c r="BM17" t="s">
        <v>736</v>
      </c>
      <c r="BN17" t="s">
        <v>736</v>
      </c>
      <c r="BO17" t="s">
        <v>736</v>
      </c>
      <c r="BP17" t="s">
        <v>1012</v>
      </c>
      <c r="BQ17" t="s">
        <v>1046</v>
      </c>
      <c r="BR17" t="s">
        <v>736</v>
      </c>
      <c r="BS17" t="s">
        <v>736</v>
      </c>
      <c r="BT17" s="3" t="s">
        <v>359</v>
      </c>
      <c r="BV17" s="33"/>
    </row>
    <row r="18" spans="1:74" s="3" customFormat="1">
      <c r="A18" s="3" t="s">
        <v>94</v>
      </c>
      <c r="B18" s="3" t="s">
        <v>95</v>
      </c>
      <c r="C18" s="3">
        <v>2023</v>
      </c>
      <c r="D18" s="3" t="s">
        <v>96</v>
      </c>
      <c r="E18" s="3" t="s">
        <v>97</v>
      </c>
      <c r="F18" s="3">
        <v>20</v>
      </c>
      <c r="G18" s="3" t="s">
        <v>351</v>
      </c>
      <c r="H18" t="s">
        <v>736</v>
      </c>
      <c r="I18" s="3" t="s">
        <v>754</v>
      </c>
      <c r="J18" s="3" t="s">
        <v>765</v>
      </c>
      <c r="K18" t="s">
        <v>736</v>
      </c>
      <c r="L18" t="s">
        <v>736</v>
      </c>
      <c r="M18" t="s">
        <v>736</v>
      </c>
      <c r="N18" s="3" t="s">
        <v>848</v>
      </c>
      <c r="O18" t="s">
        <v>736</v>
      </c>
      <c r="P18" t="s">
        <v>736</v>
      </c>
      <c r="Q18" s="3" t="s">
        <v>289</v>
      </c>
      <c r="R18" s="3">
        <v>19</v>
      </c>
      <c r="S18" t="s">
        <v>736</v>
      </c>
      <c r="T18" t="s">
        <v>888</v>
      </c>
      <c r="U18" t="s">
        <v>736</v>
      </c>
      <c r="V18" t="s">
        <v>736</v>
      </c>
      <c r="W18" t="s">
        <v>736</v>
      </c>
      <c r="X18" t="s">
        <v>736</v>
      </c>
      <c r="Y18" t="s">
        <v>736</v>
      </c>
      <c r="Z18" t="s">
        <v>736</v>
      </c>
      <c r="AA18" t="s">
        <v>736</v>
      </c>
      <c r="AB18" t="s">
        <v>736</v>
      </c>
      <c r="AC18" t="s">
        <v>736</v>
      </c>
      <c r="AD18" t="s">
        <v>736</v>
      </c>
      <c r="AE18" t="s">
        <v>736</v>
      </c>
      <c r="AF18" t="s">
        <v>736</v>
      </c>
      <c r="AG18" t="s">
        <v>736</v>
      </c>
      <c r="AH18" t="s">
        <v>736</v>
      </c>
      <c r="AI18" t="s">
        <v>736</v>
      </c>
      <c r="AJ18" t="s">
        <v>736</v>
      </c>
      <c r="AK18" t="s">
        <v>736</v>
      </c>
      <c r="AL18" t="s">
        <v>736</v>
      </c>
      <c r="AM18" t="s">
        <v>736</v>
      </c>
      <c r="AN18" t="s">
        <v>736</v>
      </c>
      <c r="AO18" t="s">
        <v>736</v>
      </c>
      <c r="AP18" t="s">
        <v>736</v>
      </c>
      <c r="AQ18" t="s">
        <v>736</v>
      </c>
      <c r="AR18" t="s">
        <v>736</v>
      </c>
      <c r="AS18" t="s">
        <v>736</v>
      </c>
      <c r="AT18" t="s">
        <v>736</v>
      </c>
      <c r="AU18" t="s">
        <v>736</v>
      </c>
      <c r="AV18" t="s">
        <v>736</v>
      </c>
      <c r="AW18" t="s">
        <v>736</v>
      </c>
      <c r="AX18" t="s">
        <v>736</v>
      </c>
      <c r="AY18" t="s">
        <v>736</v>
      </c>
      <c r="AZ18" t="s">
        <v>736</v>
      </c>
      <c r="BA18" t="s">
        <v>736</v>
      </c>
      <c r="BB18" t="s">
        <v>736</v>
      </c>
      <c r="BC18" t="s">
        <v>736</v>
      </c>
      <c r="BD18" t="s">
        <v>736</v>
      </c>
      <c r="BE18" t="s">
        <v>736</v>
      </c>
      <c r="BF18" t="s">
        <v>736</v>
      </c>
      <c r="BG18" t="s">
        <v>736</v>
      </c>
      <c r="BH18" t="s">
        <v>736</v>
      </c>
      <c r="BI18" t="s">
        <v>736</v>
      </c>
      <c r="BJ18" t="s">
        <v>736</v>
      </c>
      <c r="BK18" t="s">
        <v>736</v>
      </c>
      <c r="BL18" t="s">
        <v>736</v>
      </c>
      <c r="BM18" t="s">
        <v>736</v>
      </c>
      <c r="BN18" t="s">
        <v>736</v>
      </c>
      <c r="BO18" t="s">
        <v>736</v>
      </c>
      <c r="BP18" t="s">
        <v>736</v>
      </c>
      <c r="BQ18" t="s">
        <v>736</v>
      </c>
      <c r="BR18" t="s">
        <v>736</v>
      </c>
      <c r="BS18" t="s">
        <v>736</v>
      </c>
      <c r="BT18" t="s">
        <v>736</v>
      </c>
      <c r="BU18" t="s">
        <v>736</v>
      </c>
      <c r="BV18" s="33"/>
    </row>
    <row r="19" spans="1:74">
      <c r="A19" t="s">
        <v>98</v>
      </c>
      <c r="B19" t="s">
        <v>99</v>
      </c>
      <c r="C19">
        <v>2025</v>
      </c>
      <c r="D19" t="s">
        <v>69</v>
      </c>
      <c r="E19" t="s">
        <v>100</v>
      </c>
      <c r="F19">
        <v>25</v>
      </c>
      <c r="G19" t="s">
        <v>331</v>
      </c>
      <c r="H19" t="s">
        <v>736</v>
      </c>
      <c r="I19" t="s">
        <v>809</v>
      </c>
      <c r="J19" t="s">
        <v>736</v>
      </c>
      <c r="K19" t="s">
        <v>736</v>
      </c>
      <c r="L19" t="s">
        <v>766</v>
      </c>
      <c r="M19" t="s">
        <v>736</v>
      </c>
      <c r="N19" t="s">
        <v>736</v>
      </c>
      <c r="O19" t="s">
        <v>736</v>
      </c>
      <c r="P19" t="s">
        <v>736</v>
      </c>
      <c r="Q19" t="s">
        <v>289</v>
      </c>
      <c r="R19">
        <v>32</v>
      </c>
      <c r="S19" t="s">
        <v>273</v>
      </c>
      <c r="T19" t="s">
        <v>889</v>
      </c>
      <c r="U19" t="s">
        <v>272</v>
      </c>
      <c r="V19" t="s">
        <v>926</v>
      </c>
      <c r="W19" t="s">
        <v>220</v>
      </c>
      <c r="X19">
        <v>750</v>
      </c>
      <c r="Y19">
        <v>30</v>
      </c>
      <c r="Z19">
        <v>495</v>
      </c>
      <c r="AA19">
        <f>X19*Z19/60000</f>
        <v>6.1875</v>
      </c>
      <c r="AB19" t="s">
        <v>366</v>
      </c>
      <c r="AC19">
        <v>3</v>
      </c>
      <c r="AD19" t="s">
        <v>736</v>
      </c>
      <c r="AE19" t="s">
        <v>974</v>
      </c>
      <c r="AG19" t="s">
        <v>266</v>
      </c>
      <c r="AH19" t="s">
        <v>736</v>
      </c>
      <c r="AI19" t="s">
        <v>294</v>
      </c>
      <c r="AJ19" t="s">
        <v>1073</v>
      </c>
      <c r="AK19">
        <v>10</v>
      </c>
      <c r="AL19" t="s">
        <v>1081</v>
      </c>
      <c r="AM19" t="s">
        <v>367</v>
      </c>
      <c r="AN19" t="s">
        <v>736</v>
      </c>
      <c r="AO19">
        <v>30</v>
      </c>
      <c r="AP19">
        <v>0.75</v>
      </c>
      <c r="AR19" t="s">
        <v>368</v>
      </c>
      <c r="AS19" t="s">
        <v>736</v>
      </c>
      <c r="AT19" t="s">
        <v>997</v>
      </c>
      <c r="AU19" t="s">
        <v>370</v>
      </c>
      <c r="AV19" t="s">
        <v>736</v>
      </c>
      <c r="AW19" t="s">
        <v>736</v>
      </c>
      <c r="AX19" t="s">
        <v>736</v>
      </c>
      <c r="AY19" t="s">
        <v>371</v>
      </c>
      <c r="AZ19" t="s">
        <v>736</v>
      </c>
      <c r="BA19" t="s">
        <v>372</v>
      </c>
      <c r="BB19" t="s">
        <v>373</v>
      </c>
      <c r="BC19" t="s">
        <v>374</v>
      </c>
      <c r="BD19" t="s">
        <v>380</v>
      </c>
      <c r="BE19" t="s">
        <v>736</v>
      </c>
      <c r="BF19" t="s">
        <v>736</v>
      </c>
      <c r="BG19" t="s">
        <v>375</v>
      </c>
      <c r="BH19" t="s">
        <v>736</v>
      </c>
      <c r="BI19" t="s">
        <v>736</v>
      </c>
      <c r="BJ19" t="s">
        <v>736</v>
      </c>
      <c r="BK19" t="s">
        <v>736</v>
      </c>
      <c r="BL19" t="s">
        <v>379</v>
      </c>
      <c r="BM19" t="s">
        <v>736</v>
      </c>
      <c r="BN19" t="s">
        <v>736</v>
      </c>
      <c r="BO19" t="s">
        <v>736</v>
      </c>
      <c r="BP19" t="s">
        <v>1013</v>
      </c>
      <c r="BQ19" t="s">
        <v>1047</v>
      </c>
      <c r="BR19" s="2" t="s">
        <v>376</v>
      </c>
      <c r="BS19" t="s">
        <v>736</v>
      </c>
      <c r="BT19" t="s">
        <v>736</v>
      </c>
      <c r="BU19" s="2" t="s">
        <v>378</v>
      </c>
      <c r="BV19" s="33"/>
    </row>
    <row r="20" spans="1:74">
      <c r="A20" t="s">
        <v>98</v>
      </c>
      <c r="B20" t="s">
        <v>99</v>
      </c>
      <c r="C20">
        <v>2025</v>
      </c>
      <c r="D20" t="s">
        <v>69</v>
      </c>
      <c r="E20" t="s">
        <v>100</v>
      </c>
      <c r="F20">
        <v>53</v>
      </c>
      <c r="G20" t="s">
        <v>331</v>
      </c>
      <c r="H20" t="s">
        <v>736</v>
      </c>
      <c r="I20" t="s">
        <v>810</v>
      </c>
      <c r="J20" t="s">
        <v>736</v>
      </c>
      <c r="K20" t="s">
        <v>736</v>
      </c>
      <c r="L20" t="s">
        <v>767</v>
      </c>
      <c r="M20" t="s">
        <v>736</v>
      </c>
      <c r="N20" t="s">
        <v>736</v>
      </c>
      <c r="O20" t="s">
        <v>736</v>
      </c>
      <c r="P20" t="s">
        <v>736</v>
      </c>
      <c r="Q20" t="s">
        <v>289</v>
      </c>
      <c r="R20">
        <v>32</v>
      </c>
      <c r="S20" t="s">
        <v>273</v>
      </c>
      <c r="T20" t="s">
        <v>890</v>
      </c>
      <c r="U20" t="s">
        <v>736</v>
      </c>
      <c r="V20" t="s">
        <v>736</v>
      </c>
      <c r="W20" t="s">
        <v>736</v>
      </c>
      <c r="X20" t="s">
        <v>736</v>
      </c>
      <c r="Y20" t="s">
        <v>736</v>
      </c>
      <c r="Z20" t="s">
        <v>736</v>
      </c>
      <c r="AA20" t="s">
        <v>736</v>
      </c>
      <c r="AB20" t="s">
        <v>736</v>
      </c>
      <c r="AC20" t="s">
        <v>736</v>
      </c>
      <c r="AD20" t="s">
        <v>736</v>
      </c>
      <c r="AE20" t="s">
        <v>736</v>
      </c>
      <c r="AF20" t="s">
        <v>736</v>
      </c>
      <c r="AG20" t="s">
        <v>736</v>
      </c>
      <c r="AH20" t="s">
        <v>736</v>
      </c>
      <c r="AI20" t="s">
        <v>736</v>
      </c>
      <c r="AJ20" t="s">
        <v>736</v>
      </c>
      <c r="AK20" t="s">
        <v>736</v>
      </c>
      <c r="AL20" t="s">
        <v>736</v>
      </c>
      <c r="AM20" t="s">
        <v>736</v>
      </c>
      <c r="AN20" t="s">
        <v>736</v>
      </c>
      <c r="AO20" t="s">
        <v>736</v>
      </c>
      <c r="AP20" t="s">
        <v>736</v>
      </c>
      <c r="AQ20" t="s">
        <v>736</v>
      </c>
      <c r="AR20" t="s">
        <v>736</v>
      </c>
      <c r="AS20" t="s">
        <v>736</v>
      </c>
      <c r="AT20" t="s">
        <v>736</v>
      </c>
      <c r="AU20" t="s">
        <v>736</v>
      </c>
      <c r="AV20" t="s">
        <v>736</v>
      </c>
      <c r="AW20" t="s">
        <v>736</v>
      </c>
      <c r="AX20" t="s">
        <v>736</v>
      </c>
      <c r="AY20" t="s">
        <v>736</v>
      </c>
      <c r="AZ20" t="s">
        <v>736</v>
      </c>
      <c r="BA20" t="s">
        <v>736</v>
      </c>
      <c r="BB20" t="s">
        <v>736</v>
      </c>
      <c r="BC20" t="s">
        <v>736</v>
      </c>
      <c r="BD20" t="s">
        <v>736</v>
      </c>
      <c r="BE20" t="s">
        <v>736</v>
      </c>
      <c r="BF20" t="s">
        <v>736</v>
      </c>
      <c r="BG20" t="s">
        <v>736</v>
      </c>
      <c r="BH20" t="s">
        <v>736</v>
      </c>
      <c r="BI20" t="s">
        <v>736</v>
      </c>
      <c r="BJ20" t="s">
        <v>736</v>
      </c>
      <c r="BK20" t="s">
        <v>736</v>
      </c>
      <c r="BL20" t="s">
        <v>736</v>
      </c>
      <c r="BM20" t="s">
        <v>736</v>
      </c>
      <c r="BN20" t="s">
        <v>736</v>
      </c>
      <c r="BO20" t="s">
        <v>736</v>
      </c>
      <c r="BP20" t="s">
        <v>736</v>
      </c>
      <c r="BQ20" t="s">
        <v>736</v>
      </c>
      <c r="BR20" t="s">
        <v>736</v>
      </c>
      <c r="BS20" t="s">
        <v>736</v>
      </c>
      <c r="BT20" t="s">
        <v>736</v>
      </c>
      <c r="BU20" t="s">
        <v>736</v>
      </c>
      <c r="BV20" s="33"/>
    </row>
    <row r="21" spans="1:74" s="3" customFormat="1">
      <c r="A21" s="3" t="s">
        <v>101</v>
      </c>
      <c r="B21" s="3" t="s">
        <v>102</v>
      </c>
      <c r="C21" s="3">
        <v>2021</v>
      </c>
      <c r="D21" s="3" t="s">
        <v>81</v>
      </c>
      <c r="E21" s="3" t="s">
        <v>103</v>
      </c>
      <c r="F21" s="3">
        <v>29</v>
      </c>
      <c r="G21" s="3" t="s">
        <v>331</v>
      </c>
      <c r="H21" t="s">
        <v>736</v>
      </c>
      <c r="I21" s="3" t="s">
        <v>381</v>
      </c>
      <c r="J21" s="3" t="s">
        <v>768</v>
      </c>
      <c r="K21" t="s">
        <v>736</v>
      </c>
      <c r="L21" t="s">
        <v>736</v>
      </c>
      <c r="M21" t="s">
        <v>736</v>
      </c>
      <c r="N21" t="s">
        <v>736</v>
      </c>
      <c r="O21" s="3" t="s">
        <v>384</v>
      </c>
      <c r="P21" t="s">
        <v>736</v>
      </c>
      <c r="Q21" s="3" t="s">
        <v>289</v>
      </c>
      <c r="R21" s="3">
        <v>20</v>
      </c>
      <c r="S21" s="3" t="s">
        <v>383</v>
      </c>
      <c r="T21" t="s">
        <v>891</v>
      </c>
      <c r="U21" s="3" t="s">
        <v>921</v>
      </c>
      <c r="V21" s="3" t="s">
        <v>242</v>
      </c>
      <c r="W21" s="3" t="s">
        <v>220</v>
      </c>
      <c r="X21" s="3">
        <v>2400</v>
      </c>
      <c r="Y21" s="3">
        <v>25</v>
      </c>
      <c r="Z21" s="3">
        <v>210</v>
      </c>
      <c r="AA21" s="3">
        <f t="shared" si="0"/>
        <v>8.4</v>
      </c>
      <c r="AB21" s="3" t="s">
        <v>353</v>
      </c>
      <c r="AC21" s="3">
        <v>3</v>
      </c>
      <c r="AD21" s="3" t="s">
        <v>953</v>
      </c>
      <c r="AE21" t="s">
        <v>975</v>
      </c>
      <c r="AF21" s="3" t="s">
        <v>269</v>
      </c>
      <c r="AG21" s="3" t="s">
        <v>386</v>
      </c>
      <c r="AH21" s="3" t="s">
        <v>309</v>
      </c>
      <c r="AI21" s="3" t="s">
        <v>294</v>
      </c>
      <c r="AJ21" t="s">
        <v>1073</v>
      </c>
      <c r="AK21">
        <v>6</v>
      </c>
      <c r="AL21" t="s">
        <v>1082</v>
      </c>
      <c r="AM21" s="3" t="s">
        <v>387</v>
      </c>
      <c r="AN21" t="s">
        <v>736</v>
      </c>
      <c r="AO21" s="3">
        <v>48</v>
      </c>
      <c r="AP21" s="3">
        <v>2.4</v>
      </c>
      <c r="AQ21" t="s">
        <v>736</v>
      </c>
      <c r="AR21" t="s">
        <v>736</v>
      </c>
      <c r="AS21" s="3" t="s">
        <v>389</v>
      </c>
      <c r="AT21" s="3" t="s">
        <v>997</v>
      </c>
      <c r="AU21" s="3" t="s">
        <v>370</v>
      </c>
      <c r="AV21" t="s">
        <v>736</v>
      </c>
      <c r="AW21" s="3" t="s">
        <v>346</v>
      </c>
      <c r="AX21" t="s">
        <v>736</v>
      </c>
      <c r="AY21" s="3" t="s">
        <v>390</v>
      </c>
      <c r="AZ21" t="s">
        <v>736</v>
      </c>
      <c r="BA21" s="3" t="s">
        <v>392</v>
      </c>
      <c r="BB21" s="3" t="s">
        <v>391</v>
      </c>
      <c r="BC21" s="3" t="s">
        <v>393</v>
      </c>
      <c r="BD21" s="3" t="s">
        <v>394</v>
      </c>
      <c r="BE21" t="s">
        <v>736</v>
      </c>
      <c r="BF21" t="s">
        <v>736</v>
      </c>
      <c r="BG21" s="3" t="s">
        <v>395</v>
      </c>
      <c r="BH21" t="s">
        <v>736</v>
      </c>
      <c r="BI21" t="s">
        <v>736</v>
      </c>
      <c r="BJ21" t="s">
        <v>736</v>
      </c>
      <c r="BK21" t="s">
        <v>736</v>
      </c>
      <c r="BL21" t="s">
        <v>736</v>
      </c>
      <c r="BM21" t="s">
        <v>736</v>
      </c>
      <c r="BN21" t="s">
        <v>736</v>
      </c>
      <c r="BO21" t="s">
        <v>736</v>
      </c>
      <c r="BP21" t="s">
        <v>1014</v>
      </c>
      <c r="BQ21" t="s">
        <v>1048</v>
      </c>
      <c r="BR21" s="4" t="s">
        <v>559</v>
      </c>
      <c r="BS21" s="8" t="s">
        <v>560</v>
      </c>
      <c r="BT21" t="s">
        <v>736</v>
      </c>
      <c r="BU21" t="s">
        <v>736</v>
      </c>
      <c r="BV21" s="33"/>
    </row>
    <row r="22" spans="1:74" s="3" customFormat="1">
      <c r="A22" s="3" t="s">
        <v>101</v>
      </c>
      <c r="B22" s="3" t="s">
        <v>102</v>
      </c>
      <c r="C22" s="3">
        <v>2021</v>
      </c>
      <c r="D22" s="3" t="s">
        <v>81</v>
      </c>
      <c r="E22" s="3" t="s">
        <v>103</v>
      </c>
      <c r="F22" s="3">
        <v>85</v>
      </c>
      <c r="G22" s="3" t="s">
        <v>331</v>
      </c>
      <c r="H22" t="s">
        <v>736</v>
      </c>
      <c r="I22" s="3" t="s">
        <v>382</v>
      </c>
      <c r="J22" s="3" t="s">
        <v>769</v>
      </c>
      <c r="K22" t="s">
        <v>736</v>
      </c>
      <c r="L22" t="s">
        <v>736</v>
      </c>
      <c r="M22" t="s">
        <v>736</v>
      </c>
      <c r="N22" t="s">
        <v>736</v>
      </c>
      <c r="O22" s="3" t="s">
        <v>385</v>
      </c>
      <c r="P22" t="s">
        <v>736</v>
      </c>
      <c r="Q22" s="3" t="s">
        <v>289</v>
      </c>
      <c r="R22" s="3">
        <v>20</v>
      </c>
      <c r="S22" t="s">
        <v>736</v>
      </c>
      <c r="T22" t="s">
        <v>892</v>
      </c>
      <c r="U22" t="s">
        <v>736</v>
      </c>
      <c r="V22" t="s">
        <v>736</v>
      </c>
      <c r="W22" s="3" t="s">
        <v>220</v>
      </c>
      <c r="X22" t="s">
        <v>736</v>
      </c>
      <c r="Y22" t="s">
        <v>736</v>
      </c>
      <c r="Z22" t="s">
        <v>736</v>
      </c>
      <c r="AA22" t="s">
        <v>736</v>
      </c>
      <c r="AB22" t="s">
        <v>736</v>
      </c>
      <c r="AC22" t="s">
        <v>736</v>
      </c>
      <c r="AD22" t="s">
        <v>736</v>
      </c>
      <c r="AE22" t="s">
        <v>736</v>
      </c>
      <c r="AF22" t="s">
        <v>736</v>
      </c>
      <c r="AG22" t="s">
        <v>736</v>
      </c>
      <c r="AH22" t="s">
        <v>736</v>
      </c>
      <c r="AI22" t="s">
        <v>736</v>
      </c>
      <c r="AJ22" t="s">
        <v>736</v>
      </c>
      <c r="AK22" t="s">
        <v>736</v>
      </c>
      <c r="AL22" t="s">
        <v>736</v>
      </c>
      <c r="AM22" t="s">
        <v>736</v>
      </c>
      <c r="AN22" t="s">
        <v>736</v>
      </c>
      <c r="AO22" t="s">
        <v>736</v>
      </c>
      <c r="AP22" t="s">
        <v>736</v>
      </c>
      <c r="AQ22" t="s">
        <v>736</v>
      </c>
      <c r="AR22" t="s">
        <v>736</v>
      </c>
      <c r="AS22" t="s">
        <v>736</v>
      </c>
      <c r="AT22" t="s">
        <v>736</v>
      </c>
      <c r="AU22" t="s">
        <v>736</v>
      </c>
      <c r="AV22" t="s">
        <v>736</v>
      </c>
      <c r="AW22" t="s">
        <v>736</v>
      </c>
      <c r="AX22" t="s">
        <v>736</v>
      </c>
      <c r="AY22" t="s">
        <v>736</v>
      </c>
      <c r="AZ22" t="s">
        <v>736</v>
      </c>
      <c r="BA22" t="s">
        <v>736</v>
      </c>
      <c r="BB22" t="s">
        <v>736</v>
      </c>
      <c r="BC22" t="s">
        <v>736</v>
      </c>
      <c r="BD22" t="s">
        <v>736</v>
      </c>
      <c r="BE22" t="s">
        <v>736</v>
      </c>
      <c r="BF22" t="s">
        <v>736</v>
      </c>
      <c r="BG22" t="s">
        <v>736</v>
      </c>
      <c r="BH22" t="s">
        <v>736</v>
      </c>
      <c r="BI22" t="s">
        <v>736</v>
      </c>
      <c r="BJ22" t="s">
        <v>736</v>
      </c>
      <c r="BK22" t="s">
        <v>736</v>
      </c>
      <c r="BL22" t="s">
        <v>736</v>
      </c>
      <c r="BM22" t="s">
        <v>736</v>
      </c>
      <c r="BN22" t="s">
        <v>736</v>
      </c>
      <c r="BO22" t="s">
        <v>736</v>
      </c>
      <c r="BP22" t="s">
        <v>736</v>
      </c>
      <c r="BQ22" t="s">
        <v>736</v>
      </c>
      <c r="BR22" t="s">
        <v>736</v>
      </c>
      <c r="BS22" t="s">
        <v>736</v>
      </c>
      <c r="BT22" t="s">
        <v>736</v>
      </c>
      <c r="BU22" t="s">
        <v>736</v>
      </c>
      <c r="BV22" s="33"/>
    </row>
    <row r="23" spans="1:74">
      <c r="A23" t="s">
        <v>104</v>
      </c>
      <c r="B23" t="s">
        <v>105</v>
      </c>
      <c r="C23">
        <v>2019</v>
      </c>
      <c r="D23" t="s">
        <v>61</v>
      </c>
      <c r="E23" t="s">
        <v>106</v>
      </c>
      <c r="F23">
        <v>52</v>
      </c>
      <c r="G23" t="s">
        <v>331</v>
      </c>
      <c r="H23" t="s">
        <v>736</v>
      </c>
      <c r="I23" t="s">
        <v>811</v>
      </c>
      <c r="J23" t="s">
        <v>770</v>
      </c>
      <c r="K23" t="s">
        <v>736</v>
      </c>
      <c r="L23" t="s">
        <v>736</v>
      </c>
      <c r="M23" t="s">
        <v>736</v>
      </c>
      <c r="N23" t="s">
        <v>736</v>
      </c>
      <c r="O23" t="s">
        <v>736</v>
      </c>
      <c r="P23" t="s">
        <v>736</v>
      </c>
      <c r="Q23" t="s">
        <v>290</v>
      </c>
      <c r="R23">
        <v>35</v>
      </c>
      <c r="S23" t="s">
        <v>858</v>
      </c>
      <c r="T23" t="s">
        <v>893</v>
      </c>
      <c r="U23" t="s">
        <v>272</v>
      </c>
      <c r="V23" t="s">
        <v>927</v>
      </c>
      <c r="W23" t="s">
        <v>220</v>
      </c>
      <c r="X23">
        <v>1939.4</v>
      </c>
      <c r="Y23">
        <v>45</v>
      </c>
      <c r="Z23">
        <v>240</v>
      </c>
      <c r="AA23">
        <v>8</v>
      </c>
      <c r="AB23" t="s">
        <v>396</v>
      </c>
      <c r="AC23">
        <v>1.5</v>
      </c>
      <c r="AD23" t="s">
        <v>954</v>
      </c>
      <c r="AE23" t="s">
        <v>976</v>
      </c>
      <c r="AF23" t="s">
        <v>269</v>
      </c>
      <c r="AG23" t="s">
        <v>266</v>
      </c>
      <c r="AH23" t="s">
        <v>309</v>
      </c>
      <c r="AI23" t="s">
        <v>294</v>
      </c>
      <c r="AJ23" t="s">
        <v>1073</v>
      </c>
      <c r="AK23">
        <v>7</v>
      </c>
      <c r="AL23" t="s">
        <v>1083</v>
      </c>
      <c r="AM23" t="s">
        <v>397</v>
      </c>
      <c r="AN23" t="s">
        <v>736</v>
      </c>
      <c r="AO23">
        <v>44</v>
      </c>
      <c r="AP23">
        <v>1.9394</v>
      </c>
      <c r="AQ23" t="s">
        <v>736</v>
      </c>
      <c r="AR23" t="s">
        <v>736</v>
      </c>
      <c r="AS23" t="s">
        <v>398</v>
      </c>
      <c r="AT23" t="s">
        <v>997</v>
      </c>
      <c r="AV23" t="s">
        <v>736</v>
      </c>
      <c r="AW23" t="s">
        <v>285</v>
      </c>
      <c r="AX23" t="s">
        <v>736</v>
      </c>
      <c r="AY23" t="s">
        <v>399</v>
      </c>
      <c r="AZ23" t="s">
        <v>736</v>
      </c>
      <c r="BA23" t="s">
        <v>400</v>
      </c>
      <c r="BB23" t="s">
        <v>401</v>
      </c>
      <c r="BC23" t="s">
        <v>402</v>
      </c>
      <c r="BD23" t="s">
        <v>403</v>
      </c>
      <c r="BE23" t="s">
        <v>404</v>
      </c>
      <c r="BF23" t="s">
        <v>736</v>
      </c>
      <c r="BG23" t="s">
        <v>736</v>
      </c>
      <c r="BH23" t="s">
        <v>736</v>
      </c>
      <c r="BI23" t="s">
        <v>736</v>
      </c>
      <c r="BJ23" t="s">
        <v>736</v>
      </c>
      <c r="BK23" t="s">
        <v>736</v>
      </c>
      <c r="BL23" t="s">
        <v>406</v>
      </c>
      <c r="BM23" t="s">
        <v>736</v>
      </c>
      <c r="BN23" t="s">
        <v>736</v>
      </c>
      <c r="BO23" t="s">
        <v>736</v>
      </c>
      <c r="BP23" t="s">
        <v>1015</v>
      </c>
      <c r="BQ23" t="s">
        <v>1049</v>
      </c>
      <c r="BR23" s="2" t="s">
        <v>407</v>
      </c>
      <c r="BS23" t="s">
        <v>736</v>
      </c>
      <c r="BT23" t="s">
        <v>736</v>
      </c>
      <c r="BU23" t="s">
        <v>405</v>
      </c>
      <c r="BV23" s="33"/>
    </row>
    <row r="24" spans="1:74">
      <c r="A24" t="s">
        <v>104</v>
      </c>
      <c r="B24" t="s">
        <v>105</v>
      </c>
      <c r="C24">
        <v>2019</v>
      </c>
      <c r="D24" t="s">
        <v>61</v>
      </c>
      <c r="E24" t="s">
        <v>106</v>
      </c>
      <c r="F24">
        <v>46</v>
      </c>
      <c r="G24" t="s">
        <v>331</v>
      </c>
      <c r="H24" t="s">
        <v>736</v>
      </c>
      <c r="I24" t="s">
        <v>812</v>
      </c>
      <c r="J24" t="s">
        <v>771</v>
      </c>
      <c r="K24" t="s">
        <v>736</v>
      </c>
      <c r="L24" t="s">
        <v>736</v>
      </c>
      <c r="M24" t="s">
        <v>736</v>
      </c>
      <c r="N24" t="s">
        <v>736</v>
      </c>
      <c r="O24" t="s">
        <v>736</v>
      </c>
      <c r="P24" t="s">
        <v>736</v>
      </c>
      <c r="Q24" t="s">
        <v>290</v>
      </c>
      <c r="R24">
        <v>35</v>
      </c>
      <c r="S24" t="s">
        <v>736</v>
      </c>
      <c r="T24" t="s">
        <v>894</v>
      </c>
      <c r="U24" t="s">
        <v>736</v>
      </c>
      <c r="V24" t="s">
        <v>736</v>
      </c>
      <c r="W24" t="s">
        <v>736</v>
      </c>
      <c r="X24" t="s">
        <v>736</v>
      </c>
      <c r="Y24" t="s">
        <v>736</v>
      </c>
      <c r="Z24" t="s">
        <v>736</v>
      </c>
      <c r="AA24" t="s">
        <v>736</v>
      </c>
      <c r="AB24" t="s">
        <v>736</v>
      </c>
      <c r="AC24" t="s">
        <v>736</v>
      </c>
      <c r="AD24" t="s">
        <v>736</v>
      </c>
      <c r="AE24" t="s">
        <v>736</v>
      </c>
      <c r="AF24" t="s">
        <v>736</v>
      </c>
      <c r="AG24" t="s">
        <v>736</v>
      </c>
      <c r="AH24" t="s">
        <v>736</v>
      </c>
      <c r="AI24" t="s">
        <v>736</v>
      </c>
      <c r="AJ24" t="s">
        <v>736</v>
      </c>
      <c r="AK24" t="s">
        <v>736</v>
      </c>
      <c r="AL24" t="s">
        <v>736</v>
      </c>
      <c r="AM24" t="s">
        <v>736</v>
      </c>
      <c r="AN24" t="s">
        <v>736</v>
      </c>
      <c r="AO24" t="s">
        <v>736</v>
      </c>
      <c r="AP24" t="s">
        <v>736</v>
      </c>
      <c r="AQ24" t="s">
        <v>736</v>
      </c>
      <c r="AR24" t="s">
        <v>736</v>
      </c>
      <c r="AS24" t="s">
        <v>736</v>
      </c>
      <c r="AT24" t="s">
        <v>736</v>
      </c>
      <c r="AU24" t="s">
        <v>736</v>
      </c>
      <c r="AV24" t="s">
        <v>736</v>
      </c>
      <c r="AW24" t="s">
        <v>736</v>
      </c>
      <c r="AX24" t="s">
        <v>736</v>
      </c>
      <c r="AY24" t="s">
        <v>736</v>
      </c>
      <c r="AZ24" t="s">
        <v>736</v>
      </c>
      <c r="BA24" t="s">
        <v>736</v>
      </c>
      <c r="BB24" t="s">
        <v>736</v>
      </c>
      <c r="BC24" t="s">
        <v>736</v>
      </c>
      <c r="BD24" t="s">
        <v>736</v>
      </c>
      <c r="BE24" t="s">
        <v>736</v>
      </c>
      <c r="BF24" t="s">
        <v>736</v>
      </c>
      <c r="BG24" t="s">
        <v>736</v>
      </c>
      <c r="BH24" t="s">
        <v>736</v>
      </c>
      <c r="BI24" t="s">
        <v>736</v>
      </c>
      <c r="BJ24" t="s">
        <v>736</v>
      </c>
      <c r="BK24" t="s">
        <v>736</v>
      </c>
      <c r="BL24" t="s">
        <v>736</v>
      </c>
      <c r="BM24" t="s">
        <v>736</v>
      </c>
      <c r="BN24" t="s">
        <v>736</v>
      </c>
      <c r="BO24" t="s">
        <v>736</v>
      </c>
      <c r="BP24" t="s">
        <v>736</v>
      </c>
      <c r="BQ24" t="s">
        <v>736</v>
      </c>
      <c r="BR24" t="s">
        <v>736</v>
      </c>
      <c r="BS24" t="s">
        <v>736</v>
      </c>
      <c r="BT24" t="s">
        <v>736</v>
      </c>
      <c r="BU24" t="s">
        <v>736</v>
      </c>
      <c r="BV24" s="33"/>
    </row>
    <row r="25" spans="1:74">
      <c r="A25" t="s">
        <v>104</v>
      </c>
      <c r="B25" t="s">
        <v>105</v>
      </c>
      <c r="C25">
        <v>2019</v>
      </c>
      <c r="D25" t="s">
        <v>61</v>
      </c>
      <c r="E25" t="s">
        <v>106</v>
      </c>
      <c r="F25">
        <v>20</v>
      </c>
      <c r="G25" t="s">
        <v>331</v>
      </c>
      <c r="H25" t="s">
        <v>736</v>
      </c>
      <c r="I25" t="s">
        <v>813</v>
      </c>
      <c r="J25" t="s">
        <v>772</v>
      </c>
      <c r="K25" t="s">
        <v>736</v>
      </c>
      <c r="L25" t="s">
        <v>736</v>
      </c>
      <c r="M25" t="s">
        <v>736</v>
      </c>
      <c r="N25" t="s">
        <v>736</v>
      </c>
      <c r="O25" t="s">
        <v>736</v>
      </c>
      <c r="P25" t="s">
        <v>736</v>
      </c>
      <c r="Q25" t="s">
        <v>290</v>
      </c>
      <c r="R25">
        <v>35</v>
      </c>
      <c r="S25" t="s">
        <v>736</v>
      </c>
      <c r="T25" t="s">
        <v>895</v>
      </c>
      <c r="U25" t="s">
        <v>736</v>
      </c>
      <c r="V25" t="s">
        <v>736</v>
      </c>
      <c r="W25" t="s">
        <v>736</v>
      </c>
      <c r="X25" t="s">
        <v>736</v>
      </c>
      <c r="Y25" t="s">
        <v>736</v>
      </c>
      <c r="Z25" t="s">
        <v>736</v>
      </c>
      <c r="AA25" t="s">
        <v>736</v>
      </c>
      <c r="AB25" t="s">
        <v>736</v>
      </c>
      <c r="AC25" t="s">
        <v>736</v>
      </c>
      <c r="AD25" t="s">
        <v>736</v>
      </c>
      <c r="AE25" t="s">
        <v>736</v>
      </c>
      <c r="AF25" t="s">
        <v>736</v>
      </c>
      <c r="AG25" t="s">
        <v>736</v>
      </c>
      <c r="AH25" t="s">
        <v>736</v>
      </c>
      <c r="AI25" t="s">
        <v>736</v>
      </c>
      <c r="AJ25" t="s">
        <v>736</v>
      </c>
      <c r="AK25" t="s">
        <v>736</v>
      </c>
      <c r="AL25" t="s">
        <v>736</v>
      </c>
      <c r="AM25" t="s">
        <v>736</v>
      </c>
      <c r="AN25" t="s">
        <v>736</v>
      </c>
      <c r="AO25" t="s">
        <v>736</v>
      </c>
      <c r="AP25" t="s">
        <v>736</v>
      </c>
      <c r="AQ25" t="s">
        <v>736</v>
      </c>
      <c r="AR25" t="s">
        <v>736</v>
      </c>
      <c r="AS25" t="s">
        <v>736</v>
      </c>
      <c r="AT25" t="s">
        <v>736</v>
      </c>
      <c r="AU25" t="s">
        <v>736</v>
      </c>
      <c r="AV25" t="s">
        <v>736</v>
      </c>
      <c r="AW25" t="s">
        <v>736</v>
      </c>
      <c r="AX25" t="s">
        <v>736</v>
      </c>
      <c r="AY25" t="s">
        <v>736</v>
      </c>
      <c r="AZ25" t="s">
        <v>736</v>
      </c>
      <c r="BA25" t="s">
        <v>736</v>
      </c>
      <c r="BB25" t="s">
        <v>736</v>
      </c>
      <c r="BC25" t="s">
        <v>736</v>
      </c>
      <c r="BD25" t="s">
        <v>736</v>
      </c>
      <c r="BE25" t="s">
        <v>736</v>
      </c>
      <c r="BF25" t="s">
        <v>736</v>
      </c>
      <c r="BG25" t="s">
        <v>736</v>
      </c>
      <c r="BH25" t="s">
        <v>736</v>
      </c>
      <c r="BI25" t="s">
        <v>736</v>
      </c>
      <c r="BJ25" t="s">
        <v>736</v>
      </c>
      <c r="BK25" t="s">
        <v>736</v>
      </c>
      <c r="BL25" t="s">
        <v>736</v>
      </c>
      <c r="BM25" t="s">
        <v>736</v>
      </c>
      <c r="BN25" t="s">
        <v>736</v>
      </c>
      <c r="BO25" t="s">
        <v>736</v>
      </c>
      <c r="BP25" t="s">
        <v>736</v>
      </c>
      <c r="BQ25" t="s">
        <v>736</v>
      </c>
      <c r="BR25" t="s">
        <v>736</v>
      </c>
      <c r="BS25" t="s">
        <v>736</v>
      </c>
      <c r="BT25" t="s">
        <v>736</v>
      </c>
      <c r="BU25" t="s">
        <v>736</v>
      </c>
      <c r="BV25" s="33"/>
    </row>
    <row r="26" spans="1:74" s="3" customFormat="1">
      <c r="A26" s="3" t="s">
        <v>107</v>
      </c>
      <c r="B26" s="3" t="s">
        <v>108</v>
      </c>
      <c r="C26" s="3">
        <v>2024</v>
      </c>
      <c r="D26" s="3" t="s">
        <v>77</v>
      </c>
      <c r="E26" s="3" t="s">
        <v>109</v>
      </c>
      <c r="F26" s="3">
        <v>64</v>
      </c>
      <c r="G26" s="3" t="s">
        <v>331</v>
      </c>
      <c r="H26" t="s">
        <v>736</v>
      </c>
      <c r="I26" s="3" t="s">
        <v>410</v>
      </c>
      <c r="J26" s="3" t="s">
        <v>773</v>
      </c>
      <c r="K26" t="s">
        <v>736</v>
      </c>
      <c r="L26" t="s">
        <v>736</v>
      </c>
      <c r="M26" t="s">
        <v>736</v>
      </c>
      <c r="N26" s="3" t="s">
        <v>413</v>
      </c>
      <c r="O26" t="s">
        <v>736</v>
      </c>
      <c r="P26" t="s">
        <v>736</v>
      </c>
      <c r="Q26" s="3" t="s">
        <v>290</v>
      </c>
      <c r="R26" s="3">
        <v>54</v>
      </c>
      <c r="S26" s="3" t="s">
        <v>412</v>
      </c>
      <c r="T26" t="s">
        <v>896</v>
      </c>
      <c r="U26" s="3" t="s">
        <v>272</v>
      </c>
      <c r="V26" s="3" t="s">
        <v>924</v>
      </c>
      <c r="W26" s="3" t="s">
        <v>220</v>
      </c>
      <c r="X26" s="3">
        <v>2000</v>
      </c>
      <c r="Y26" s="3">
        <v>30</v>
      </c>
      <c r="Z26" s="3">
        <v>240</v>
      </c>
      <c r="AA26" s="3">
        <f>X26*Z26/60000</f>
        <v>8</v>
      </c>
      <c r="AB26" s="3" t="s">
        <v>263</v>
      </c>
      <c r="AC26" s="3">
        <v>3</v>
      </c>
      <c r="AD26" s="3" t="s">
        <v>955</v>
      </c>
      <c r="AE26" t="s">
        <v>977</v>
      </c>
      <c r="AF26" s="3" t="s">
        <v>269</v>
      </c>
      <c r="AG26" s="3" t="s">
        <v>270</v>
      </c>
      <c r="AH26" s="3" t="s">
        <v>416</v>
      </c>
      <c r="AI26" s="3" t="s">
        <v>294</v>
      </c>
      <c r="AJ26" t="s">
        <v>1073</v>
      </c>
      <c r="AK26">
        <v>5</v>
      </c>
      <c r="AL26" t="s">
        <v>1084</v>
      </c>
      <c r="AM26" s="3" t="s">
        <v>417</v>
      </c>
      <c r="AN26" t="s">
        <v>736</v>
      </c>
      <c r="AO26" s="3">
        <v>44</v>
      </c>
      <c r="AP26" s="3">
        <v>2</v>
      </c>
      <c r="AQ26" t="s">
        <v>736</v>
      </c>
      <c r="AR26" s="3">
        <v>4</v>
      </c>
      <c r="AS26" s="3" t="s">
        <v>389</v>
      </c>
      <c r="AT26" s="3" t="s">
        <v>997</v>
      </c>
      <c r="AU26" t="s">
        <v>736</v>
      </c>
      <c r="AV26" t="s">
        <v>736</v>
      </c>
      <c r="AW26" s="3" t="s">
        <v>285</v>
      </c>
      <c r="AX26" t="s">
        <v>736</v>
      </c>
      <c r="AY26" s="3" t="s">
        <v>418</v>
      </c>
      <c r="AZ26" t="s">
        <v>736</v>
      </c>
      <c r="BA26" s="3" t="s">
        <v>419</v>
      </c>
      <c r="BB26" s="3" t="s">
        <v>420</v>
      </c>
      <c r="BC26" s="3" t="s">
        <v>421</v>
      </c>
      <c r="BD26" t="s">
        <v>736</v>
      </c>
      <c r="BE26" t="s">
        <v>736</v>
      </c>
      <c r="BF26" t="s">
        <v>736</v>
      </c>
      <c r="BG26" s="3" t="s">
        <v>422</v>
      </c>
      <c r="BH26" s="3" t="s">
        <v>424</v>
      </c>
      <c r="BL26" t="s">
        <v>736</v>
      </c>
      <c r="BM26" t="s">
        <v>736</v>
      </c>
      <c r="BN26" t="s">
        <v>736</v>
      </c>
      <c r="BO26" t="s">
        <v>736</v>
      </c>
      <c r="BP26" t="s">
        <v>1016</v>
      </c>
      <c r="BQ26" s="3" t="s">
        <v>273</v>
      </c>
      <c r="BR26" s="4" t="s">
        <v>423</v>
      </c>
      <c r="BS26" t="s">
        <v>736</v>
      </c>
      <c r="BT26" t="s">
        <v>736</v>
      </c>
      <c r="BU26" s="3" t="s">
        <v>405</v>
      </c>
      <c r="BV26" s="33"/>
    </row>
    <row r="27" spans="1:74" s="3" customFormat="1">
      <c r="A27" s="3" t="s">
        <v>107</v>
      </c>
      <c r="B27" s="3" t="s">
        <v>108</v>
      </c>
      <c r="C27" s="3">
        <v>2024</v>
      </c>
      <c r="D27" s="3" t="s">
        <v>77</v>
      </c>
      <c r="E27" s="3" t="s">
        <v>109</v>
      </c>
      <c r="F27" s="3">
        <v>31</v>
      </c>
      <c r="G27" s="3" t="s">
        <v>331</v>
      </c>
      <c r="H27" t="s">
        <v>736</v>
      </c>
      <c r="I27" s="3" t="s">
        <v>411</v>
      </c>
      <c r="J27" s="3" t="s">
        <v>774</v>
      </c>
      <c r="K27" t="s">
        <v>736</v>
      </c>
      <c r="L27" t="s">
        <v>736</v>
      </c>
      <c r="M27" t="s">
        <v>736</v>
      </c>
      <c r="N27" s="3" t="s">
        <v>414</v>
      </c>
      <c r="O27" t="s">
        <v>736</v>
      </c>
      <c r="P27" t="s">
        <v>736</v>
      </c>
      <c r="Q27" s="3" t="s">
        <v>290</v>
      </c>
      <c r="R27" t="s">
        <v>736</v>
      </c>
      <c r="S27" t="s">
        <v>736</v>
      </c>
      <c r="T27" t="s">
        <v>897</v>
      </c>
      <c r="U27" t="s">
        <v>736</v>
      </c>
      <c r="V27" t="s">
        <v>736</v>
      </c>
      <c r="W27" t="s">
        <v>736</v>
      </c>
      <c r="X27" t="s">
        <v>736</v>
      </c>
      <c r="Y27" t="s">
        <v>736</v>
      </c>
      <c r="Z27" t="s">
        <v>736</v>
      </c>
      <c r="AA27" t="s">
        <v>736</v>
      </c>
      <c r="AB27" t="s">
        <v>736</v>
      </c>
      <c r="AC27" t="s">
        <v>736</v>
      </c>
      <c r="AD27" t="s">
        <v>736</v>
      </c>
      <c r="AE27" t="s">
        <v>736</v>
      </c>
      <c r="AF27" t="s">
        <v>736</v>
      </c>
      <c r="AG27" t="s">
        <v>736</v>
      </c>
      <c r="AH27" t="s">
        <v>736</v>
      </c>
      <c r="AI27" t="s">
        <v>736</v>
      </c>
      <c r="AJ27" t="s">
        <v>736</v>
      </c>
      <c r="AK27" t="s">
        <v>736</v>
      </c>
      <c r="AL27" t="s">
        <v>736</v>
      </c>
      <c r="AM27" t="s">
        <v>736</v>
      </c>
      <c r="AN27" t="s">
        <v>736</v>
      </c>
      <c r="AO27" t="s">
        <v>736</v>
      </c>
      <c r="AP27" t="s">
        <v>736</v>
      </c>
      <c r="AQ27" t="s">
        <v>736</v>
      </c>
      <c r="AR27" t="s">
        <v>736</v>
      </c>
      <c r="AS27" t="s">
        <v>736</v>
      </c>
      <c r="AT27" t="s">
        <v>736</v>
      </c>
      <c r="AU27" t="s">
        <v>736</v>
      </c>
      <c r="AV27" t="s">
        <v>736</v>
      </c>
      <c r="AW27" t="s">
        <v>736</v>
      </c>
      <c r="AX27" t="s">
        <v>736</v>
      </c>
      <c r="AY27" t="s">
        <v>736</v>
      </c>
      <c r="AZ27" t="s">
        <v>736</v>
      </c>
      <c r="BA27" t="s">
        <v>736</v>
      </c>
      <c r="BB27" t="s">
        <v>736</v>
      </c>
      <c r="BC27" t="s">
        <v>736</v>
      </c>
      <c r="BD27" t="s">
        <v>736</v>
      </c>
      <c r="BE27" t="s">
        <v>736</v>
      </c>
      <c r="BF27" t="s">
        <v>736</v>
      </c>
      <c r="BG27" t="s">
        <v>736</v>
      </c>
      <c r="BH27" t="s">
        <v>736</v>
      </c>
      <c r="BI27" t="s">
        <v>736</v>
      </c>
      <c r="BJ27" t="s">
        <v>736</v>
      </c>
      <c r="BK27" t="s">
        <v>736</v>
      </c>
      <c r="BL27" t="s">
        <v>736</v>
      </c>
      <c r="BM27" t="s">
        <v>736</v>
      </c>
      <c r="BN27" t="s">
        <v>736</v>
      </c>
      <c r="BO27" t="s">
        <v>736</v>
      </c>
      <c r="BP27" t="s">
        <v>736</v>
      </c>
      <c r="BQ27" t="s">
        <v>736</v>
      </c>
      <c r="BR27" t="s">
        <v>736</v>
      </c>
      <c r="BS27" t="s">
        <v>736</v>
      </c>
      <c r="BT27" t="s">
        <v>736</v>
      </c>
      <c r="BU27" t="s">
        <v>736</v>
      </c>
      <c r="BV27" s="33"/>
    </row>
    <row r="28" spans="1:74">
      <c r="A28" t="s">
        <v>110</v>
      </c>
      <c r="B28" t="s">
        <v>111</v>
      </c>
      <c r="C28">
        <v>2021</v>
      </c>
      <c r="D28" t="s">
        <v>69</v>
      </c>
      <c r="E28" t="s">
        <v>112</v>
      </c>
      <c r="F28">
        <v>36</v>
      </c>
      <c r="G28" t="s">
        <v>527</v>
      </c>
      <c r="H28" t="s">
        <v>736</v>
      </c>
      <c r="I28" t="s">
        <v>426</v>
      </c>
      <c r="J28" t="s">
        <v>775</v>
      </c>
      <c r="K28" t="s">
        <v>736</v>
      </c>
      <c r="L28" t="s">
        <v>776</v>
      </c>
      <c r="M28" t="s">
        <v>736</v>
      </c>
      <c r="N28" t="s">
        <v>736</v>
      </c>
      <c r="O28" t="s">
        <v>736</v>
      </c>
      <c r="P28" t="s">
        <v>736</v>
      </c>
      <c r="Q28" t="s">
        <v>302</v>
      </c>
      <c r="R28">
        <v>36</v>
      </c>
      <c r="S28" t="s">
        <v>425</v>
      </c>
      <c r="T28" t="s">
        <v>898</v>
      </c>
      <c r="U28" t="s">
        <v>272</v>
      </c>
      <c r="V28" t="s">
        <v>928</v>
      </c>
      <c r="W28" t="s">
        <v>220</v>
      </c>
      <c r="X28">
        <v>2000</v>
      </c>
      <c r="Y28">
        <v>30</v>
      </c>
      <c r="Z28">
        <v>200</v>
      </c>
      <c r="AA28" s="3">
        <f t="shared" ref="AA28:AA46" si="1">X28*Z28/60000</f>
        <v>6.666666666666667</v>
      </c>
      <c r="AB28" t="s">
        <v>736</v>
      </c>
      <c r="AC28">
        <v>3</v>
      </c>
      <c r="AD28" t="s">
        <v>428</v>
      </c>
      <c r="AE28" t="s">
        <v>978</v>
      </c>
      <c r="AF28" t="s">
        <v>269</v>
      </c>
      <c r="AG28" t="s">
        <v>266</v>
      </c>
      <c r="AH28" t="s">
        <v>427</v>
      </c>
      <c r="AI28" s="3" t="s">
        <v>294</v>
      </c>
      <c r="AJ28" t="s">
        <v>1073</v>
      </c>
      <c r="AK28">
        <v>4</v>
      </c>
      <c r="AL28" t="s">
        <v>1085</v>
      </c>
      <c r="AM28" t="s">
        <v>429</v>
      </c>
      <c r="AN28" t="s">
        <v>736</v>
      </c>
      <c r="AO28">
        <v>44</v>
      </c>
      <c r="AP28">
        <v>2</v>
      </c>
      <c r="AQ28">
        <v>174</v>
      </c>
      <c r="AR28">
        <v>3</v>
      </c>
      <c r="AS28" s="3" t="s">
        <v>389</v>
      </c>
      <c r="AT28" s="3" t="s">
        <v>997</v>
      </c>
      <c r="AU28" t="s">
        <v>736</v>
      </c>
      <c r="AV28" t="s">
        <v>736</v>
      </c>
      <c r="AW28" t="s">
        <v>736</v>
      </c>
      <c r="AX28" t="s">
        <v>736</v>
      </c>
      <c r="AY28" t="s">
        <v>430</v>
      </c>
      <c r="AZ28" t="s">
        <v>736</v>
      </c>
      <c r="BA28" t="s">
        <v>431</v>
      </c>
      <c r="BB28" t="s">
        <v>432</v>
      </c>
      <c r="BC28" t="s">
        <v>433</v>
      </c>
      <c r="BD28" t="s">
        <v>736</v>
      </c>
      <c r="BE28" t="s">
        <v>736</v>
      </c>
      <c r="BF28" t="s">
        <v>736</v>
      </c>
      <c r="BG28" t="s">
        <v>436</v>
      </c>
      <c r="BH28" t="s">
        <v>736</v>
      </c>
      <c r="BI28" t="s">
        <v>736</v>
      </c>
      <c r="BJ28" t="s">
        <v>736</v>
      </c>
      <c r="BK28" t="s">
        <v>736</v>
      </c>
      <c r="BL28" t="s">
        <v>736</v>
      </c>
      <c r="BM28" t="s">
        <v>736</v>
      </c>
      <c r="BN28" t="s">
        <v>736</v>
      </c>
      <c r="BO28" t="s">
        <v>736</v>
      </c>
      <c r="BP28" t="s">
        <v>1017</v>
      </c>
      <c r="BQ28" t="s">
        <v>1050</v>
      </c>
      <c r="BS28" t="s">
        <v>736</v>
      </c>
      <c r="BT28" t="s">
        <v>434</v>
      </c>
      <c r="BU28" t="s">
        <v>435</v>
      </c>
      <c r="BV28" s="33"/>
    </row>
    <row r="29" spans="1:74" s="3" customFormat="1">
      <c r="A29" s="3" t="s">
        <v>113</v>
      </c>
      <c r="B29" s="3" t="s">
        <v>114</v>
      </c>
      <c r="C29" s="3">
        <v>2017</v>
      </c>
      <c r="D29" s="3" t="s">
        <v>61</v>
      </c>
      <c r="E29" s="3" t="s">
        <v>115</v>
      </c>
      <c r="F29" s="3">
        <v>31</v>
      </c>
      <c r="G29" s="3" t="s">
        <v>331</v>
      </c>
      <c r="H29" t="s">
        <v>736</v>
      </c>
      <c r="I29" s="3" t="s">
        <v>814</v>
      </c>
      <c r="J29" s="3" t="s">
        <v>777</v>
      </c>
      <c r="K29" t="s">
        <v>736</v>
      </c>
      <c r="L29" t="s">
        <v>736</v>
      </c>
      <c r="M29" t="s">
        <v>736</v>
      </c>
      <c r="N29" t="s">
        <v>855</v>
      </c>
      <c r="O29" t="s">
        <v>736</v>
      </c>
      <c r="P29" t="s">
        <v>736</v>
      </c>
      <c r="Q29" s="3" t="s">
        <v>290</v>
      </c>
      <c r="R29" s="3">
        <v>23</v>
      </c>
      <c r="S29" s="3" t="s">
        <v>863</v>
      </c>
      <c r="T29" t="s">
        <v>736</v>
      </c>
      <c r="U29" s="3" t="s">
        <v>272</v>
      </c>
      <c r="V29" t="s">
        <v>929</v>
      </c>
      <c r="W29" s="3" t="s">
        <v>220</v>
      </c>
      <c r="X29" s="3">
        <v>2000</v>
      </c>
      <c r="Y29" s="3">
        <v>30</v>
      </c>
      <c r="Z29" s="3">
        <v>240</v>
      </c>
      <c r="AA29" s="3">
        <f t="shared" si="1"/>
        <v>8</v>
      </c>
      <c r="AB29" s="3" t="s">
        <v>437</v>
      </c>
      <c r="AC29" s="3">
        <v>3</v>
      </c>
      <c r="AD29" s="3" t="s">
        <v>956</v>
      </c>
      <c r="AE29" t="s">
        <v>979</v>
      </c>
      <c r="AF29" s="3" t="s">
        <v>269</v>
      </c>
      <c r="AG29" s="3" t="s">
        <v>266</v>
      </c>
      <c r="AH29" s="3" t="s">
        <v>309</v>
      </c>
      <c r="AI29" s="3" t="s">
        <v>294</v>
      </c>
      <c r="AJ29" t="s">
        <v>1073</v>
      </c>
      <c r="AK29">
        <v>7</v>
      </c>
      <c r="AL29" t="s">
        <v>1075</v>
      </c>
      <c r="AM29" s="3" t="s">
        <v>438</v>
      </c>
      <c r="AN29" t="s">
        <v>736</v>
      </c>
      <c r="AO29" s="3">
        <v>44</v>
      </c>
      <c r="AP29" s="3">
        <v>2</v>
      </c>
      <c r="AQ29" s="3">
        <v>214</v>
      </c>
      <c r="AR29" s="3">
        <v>2</v>
      </c>
      <c r="AS29" s="3" t="s">
        <v>439</v>
      </c>
      <c r="AT29" s="3" t="s">
        <v>997</v>
      </c>
      <c r="AU29" s="3" t="s">
        <v>445</v>
      </c>
      <c r="AV29" t="s">
        <v>736</v>
      </c>
      <c r="AW29" s="3" t="s">
        <v>285</v>
      </c>
      <c r="AX29" t="s">
        <v>736</v>
      </c>
      <c r="AY29" s="3" t="s">
        <v>440</v>
      </c>
      <c r="AZ29" t="s">
        <v>736</v>
      </c>
      <c r="BA29" s="3" t="s">
        <v>441</v>
      </c>
      <c r="BB29" s="3" t="s">
        <v>442</v>
      </c>
      <c r="BC29" s="3" t="s">
        <v>446</v>
      </c>
      <c r="BD29" t="s">
        <v>736</v>
      </c>
      <c r="BE29" t="s">
        <v>736</v>
      </c>
      <c r="BF29" t="s">
        <v>736</v>
      </c>
      <c r="BG29" s="3" t="s">
        <v>443</v>
      </c>
      <c r="BH29" t="s">
        <v>736</v>
      </c>
      <c r="BI29" t="s">
        <v>736</v>
      </c>
      <c r="BJ29" t="s">
        <v>736</v>
      </c>
      <c r="BK29" t="s">
        <v>736</v>
      </c>
      <c r="BL29" t="s">
        <v>736</v>
      </c>
      <c r="BM29" t="s">
        <v>736</v>
      </c>
      <c r="BN29" t="s">
        <v>736</v>
      </c>
      <c r="BO29" t="s">
        <v>736</v>
      </c>
      <c r="BP29" t="s">
        <v>1018</v>
      </c>
      <c r="BQ29" t="s">
        <v>1051</v>
      </c>
      <c r="BS29" s="8" t="s">
        <v>447</v>
      </c>
      <c r="BT29" s="8"/>
      <c r="BU29" s="3" t="s">
        <v>444</v>
      </c>
      <c r="BV29" s="33"/>
    </row>
    <row r="30" spans="1:74">
      <c r="A30" t="s">
        <v>116</v>
      </c>
      <c r="B30" t="s">
        <v>117</v>
      </c>
      <c r="C30">
        <v>2023</v>
      </c>
      <c r="D30" t="s">
        <v>118</v>
      </c>
      <c r="E30" t="s">
        <v>119</v>
      </c>
      <c r="F30">
        <v>16</v>
      </c>
      <c r="G30" t="s">
        <v>331</v>
      </c>
      <c r="H30" t="s">
        <v>736</v>
      </c>
      <c r="I30" t="s">
        <v>449</v>
      </c>
      <c r="J30" s="10">
        <v>29</v>
      </c>
      <c r="K30" t="s">
        <v>835</v>
      </c>
      <c r="L30" t="s">
        <v>736</v>
      </c>
      <c r="M30" t="s">
        <v>838</v>
      </c>
      <c r="N30" t="s">
        <v>736</v>
      </c>
      <c r="O30" t="s">
        <v>736</v>
      </c>
      <c r="P30" t="s">
        <v>736</v>
      </c>
      <c r="Q30" t="s">
        <v>290</v>
      </c>
      <c r="R30">
        <v>18</v>
      </c>
      <c r="S30" t="s">
        <v>451</v>
      </c>
      <c r="T30" t="s">
        <v>899</v>
      </c>
      <c r="U30" t="s">
        <v>272</v>
      </c>
      <c r="V30" t="s">
        <v>930</v>
      </c>
      <c r="W30" t="s">
        <v>220</v>
      </c>
      <c r="X30">
        <v>2200</v>
      </c>
      <c r="Y30">
        <v>30</v>
      </c>
      <c r="Z30">
        <v>300</v>
      </c>
      <c r="AA30">
        <f t="shared" si="1"/>
        <v>11</v>
      </c>
      <c r="AB30" t="s">
        <v>452</v>
      </c>
      <c r="AC30">
        <v>3</v>
      </c>
      <c r="AD30" t="s">
        <v>957</v>
      </c>
      <c r="AF30" t="s">
        <v>269</v>
      </c>
      <c r="AG30" t="s">
        <v>270</v>
      </c>
      <c r="AH30" t="s">
        <v>309</v>
      </c>
      <c r="AI30" t="s">
        <v>294</v>
      </c>
      <c r="AJ30" t="s">
        <v>1073</v>
      </c>
      <c r="AK30">
        <v>4</v>
      </c>
      <c r="AL30" t="s">
        <v>1086</v>
      </c>
      <c r="AM30" t="s">
        <v>453</v>
      </c>
      <c r="AN30" t="s">
        <v>736</v>
      </c>
      <c r="AO30">
        <v>44</v>
      </c>
      <c r="AP30">
        <v>2.2000000000000002</v>
      </c>
      <c r="AR30">
        <v>4</v>
      </c>
      <c r="AS30" t="s">
        <v>454</v>
      </c>
      <c r="AT30" t="s">
        <v>997</v>
      </c>
      <c r="AU30" t="s">
        <v>736</v>
      </c>
      <c r="AV30" t="s">
        <v>736</v>
      </c>
      <c r="AW30" t="s">
        <v>736</v>
      </c>
      <c r="AX30" t="s">
        <v>736</v>
      </c>
      <c r="AY30" t="s">
        <v>455</v>
      </c>
      <c r="AZ30" t="s">
        <v>736</v>
      </c>
      <c r="BA30" t="s">
        <v>456</v>
      </c>
      <c r="BB30" t="s">
        <v>736</v>
      </c>
      <c r="BC30" t="s">
        <v>736</v>
      </c>
      <c r="BD30" t="s">
        <v>736</v>
      </c>
      <c r="BE30" t="s">
        <v>736</v>
      </c>
      <c r="BF30" t="s">
        <v>736</v>
      </c>
      <c r="BG30" t="s">
        <v>458</v>
      </c>
      <c r="BH30" t="s">
        <v>736</v>
      </c>
      <c r="BI30" t="s">
        <v>736</v>
      </c>
      <c r="BJ30" t="s">
        <v>736</v>
      </c>
      <c r="BK30" t="s">
        <v>736</v>
      </c>
      <c r="BL30" t="s">
        <v>736</v>
      </c>
      <c r="BM30" t="s">
        <v>736</v>
      </c>
      <c r="BN30" t="s">
        <v>736</v>
      </c>
      <c r="BO30" t="s">
        <v>736</v>
      </c>
      <c r="BP30" t="s">
        <v>1019</v>
      </c>
      <c r="BQ30" t="s">
        <v>459</v>
      </c>
      <c r="BR30" s="2" t="s">
        <v>457</v>
      </c>
      <c r="BS30" t="s">
        <v>736</v>
      </c>
      <c r="BT30" t="s">
        <v>736</v>
      </c>
      <c r="BU30" t="s">
        <v>736</v>
      </c>
      <c r="BV30" s="33"/>
    </row>
    <row r="31" spans="1:74">
      <c r="A31" t="s">
        <v>116</v>
      </c>
      <c r="B31" t="s">
        <v>117</v>
      </c>
      <c r="C31">
        <v>2023</v>
      </c>
      <c r="D31" t="s">
        <v>118</v>
      </c>
      <c r="E31" t="s">
        <v>119</v>
      </c>
      <c r="F31">
        <v>16</v>
      </c>
      <c r="G31" t="s">
        <v>331</v>
      </c>
      <c r="H31" t="s">
        <v>736</v>
      </c>
      <c r="I31" t="s">
        <v>450</v>
      </c>
      <c r="J31" s="10">
        <v>26</v>
      </c>
      <c r="K31" t="s">
        <v>834</v>
      </c>
      <c r="L31" t="s">
        <v>736</v>
      </c>
      <c r="M31" t="s">
        <v>839</v>
      </c>
      <c r="N31" t="s">
        <v>736</v>
      </c>
      <c r="O31" t="s">
        <v>736</v>
      </c>
      <c r="P31" t="s">
        <v>736</v>
      </c>
      <c r="Q31" t="s">
        <v>290</v>
      </c>
      <c r="R31" t="s">
        <v>736</v>
      </c>
      <c r="S31" t="s">
        <v>736</v>
      </c>
      <c r="T31" t="s">
        <v>899</v>
      </c>
      <c r="U31" t="s">
        <v>736</v>
      </c>
      <c r="V31" t="s">
        <v>736</v>
      </c>
      <c r="W31" t="s">
        <v>736</v>
      </c>
      <c r="X31" t="s">
        <v>736</v>
      </c>
      <c r="Y31" t="s">
        <v>736</v>
      </c>
      <c r="Z31" t="s">
        <v>736</v>
      </c>
      <c r="AA31" t="s">
        <v>736</v>
      </c>
      <c r="AB31" t="s">
        <v>736</v>
      </c>
      <c r="AC31" t="s">
        <v>736</v>
      </c>
      <c r="AD31" t="s">
        <v>736</v>
      </c>
      <c r="AE31" t="s">
        <v>736</v>
      </c>
      <c r="AF31" t="s">
        <v>736</v>
      </c>
      <c r="AG31" t="s">
        <v>736</v>
      </c>
      <c r="AH31" t="s">
        <v>736</v>
      </c>
      <c r="AI31" t="s">
        <v>736</v>
      </c>
      <c r="AJ31" t="s">
        <v>736</v>
      </c>
      <c r="AK31" t="s">
        <v>736</v>
      </c>
      <c r="AL31" t="s">
        <v>736</v>
      </c>
      <c r="AM31" t="s">
        <v>736</v>
      </c>
      <c r="AN31" t="s">
        <v>736</v>
      </c>
      <c r="AO31" t="s">
        <v>736</v>
      </c>
      <c r="AP31" t="s">
        <v>736</v>
      </c>
      <c r="AQ31" t="s">
        <v>736</v>
      </c>
      <c r="AR31" t="s">
        <v>736</v>
      </c>
      <c r="AS31" t="s">
        <v>736</v>
      </c>
      <c r="AT31" t="s">
        <v>736</v>
      </c>
      <c r="AU31" t="s">
        <v>736</v>
      </c>
      <c r="AV31" t="s">
        <v>736</v>
      </c>
      <c r="AW31" t="s">
        <v>736</v>
      </c>
      <c r="AX31" t="s">
        <v>736</v>
      </c>
      <c r="AY31" t="s">
        <v>736</v>
      </c>
      <c r="AZ31" t="s">
        <v>736</v>
      </c>
      <c r="BA31" t="s">
        <v>736</v>
      </c>
      <c r="BB31" t="s">
        <v>736</v>
      </c>
      <c r="BC31" t="s">
        <v>736</v>
      </c>
      <c r="BD31" t="s">
        <v>736</v>
      </c>
      <c r="BE31" t="s">
        <v>736</v>
      </c>
      <c r="BF31" t="s">
        <v>736</v>
      </c>
      <c r="BG31" t="s">
        <v>736</v>
      </c>
      <c r="BH31" t="s">
        <v>736</v>
      </c>
      <c r="BI31" t="s">
        <v>736</v>
      </c>
      <c r="BJ31" t="s">
        <v>736</v>
      </c>
      <c r="BK31" t="s">
        <v>736</v>
      </c>
      <c r="BL31" t="s">
        <v>736</v>
      </c>
      <c r="BM31" t="s">
        <v>736</v>
      </c>
      <c r="BN31" t="s">
        <v>736</v>
      </c>
      <c r="BO31" t="s">
        <v>736</v>
      </c>
      <c r="BP31" t="s">
        <v>736</v>
      </c>
      <c r="BQ31" t="s">
        <v>736</v>
      </c>
      <c r="BR31" t="s">
        <v>736</v>
      </c>
      <c r="BS31" t="s">
        <v>736</v>
      </c>
      <c r="BT31" t="s">
        <v>736</v>
      </c>
      <c r="BU31" t="s">
        <v>736</v>
      </c>
      <c r="BV31" s="33"/>
    </row>
    <row r="32" spans="1:74" s="3" customFormat="1">
      <c r="A32" s="3" t="s">
        <v>120</v>
      </c>
      <c r="B32" s="3" t="s">
        <v>121</v>
      </c>
      <c r="C32" s="3">
        <v>2020</v>
      </c>
      <c r="D32" s="3" t="s">
        <v>118</v>
      </c>
      <c r="E32" s="3" t="s">
        <v>122</v>
      </c>
      <c r="F32" s="3">
        <v>16</v>
      </c>
      <c r="G32" s="3" t="s">
        <v>331</v>
      </c>
      <c r="H32" t="s">
        <v>736</v>
      </c>
      <c r="I32" s="3" t="s">
        <v>815</v>
      </c>
      <c r="J32" t="s">
        <v>736</v>
      </c>
      <c r="K32" t="s">
        <v>736</v>
      </c>
      <c r="L32" s="3" t="s">
        <v>778</v>
      </c>
      <c r="M32" t="s">
        <v>736</v>
      </c>
      <c r="N32" t="s">
        <v>736</v>
      </c>
      <c r="O32" s="3" t="s">
        <v>849</v>
      </c>
      <c r="P32" t="s">
        <v>736</v>
      </c>
      <c r="Q32" s="3" t="s">
        <v>290</v>
      </c>
      <c r="R32" s="3">
        <v>17</v>
      </c>
      <c r="S32" s="3" t="s">
        <v>864</v>
      </c>
      <c r="T32" t="s">
        <v>900</v>
      </c>
      <c r="U32" s="3" t="s">
        <v>272</v>
      </c>
      <c r="V32" t="s">
        <v>931</v>
      </c>
      <c r="W32" s="3" t="s">
        <v>220</v>
      </c>
      <c r="X32" s="3">
        <v>2140</v>
      </c>
      <c r="Y32" s="3">
        <v>25</v>
      </c>
      <c r="Z32" s="3">
        <v>300</v>
      </c>
      <c r="AA32" s="3">
        <f t="shared" si="1"/>
        <v>10.7</v>
      </c>
      <c r="AB32" s="3" t="s">
        <v>460</v>
      </c>
      <c r="AC32" s="3">
        <v>3</v>
      </c>
      <c r="AD32" s="3" t="s">
        <v>958</v>
      </c>
      <c r="AE32" t="s">
        <v>971</v>
      </c>
      <c r="AF32" s="3" t="s">
        <v>269</v>
      </c>
      <c r="AG32" s="3" t="s">
        <v>270</v>
      </c>
      <c r="AH32" s="3" t="s">
        <v>309</v>
      </c>
      <c r="AI32" s="3" t="s">
        <v>294</v>
      </c>
      <c r="AJ32" t="s">
        <v>1073</v>
      </c>
      <c r="AK32">
        <v>7</v>
      </c>
      <c r="AL32" t="s">
        <v>1087</v>
      </c>
      <c r="AM32" s="3" t="s">
        <v>461</v>
      </c>
      <c r="AN32" t="s">
        <v>736</v>
      </c>
      <c r="AO32" s="3">
        <v>47</v>
      </c>
      <c r="AP32" s="3">
        <v>2.14</v>
      </c>
      <c r="AQ32" s="3">
        <v>270</v>
      </c>
      <c r="AR32" s="3">
        <v>4</v>
      </c>
      <c r="AS32" s="3" t="s">
        <v>993</v>
      </c>
      <c r="AT32" s="3" t="s">
        <v>997</v>
      </c>
      <c r="AU32" s="3" t="s">
        <v>463</v>
      </c>
      <c r="AX32" t="s">
        <v>736</v>
      </c>
      <c r="AY32" s="3" t="s">
        <v>464</v>
      </c>
      <c r="AZ32" t="s">
        <v>736</v>
      </c>
      <c r="BA32" s="3" t="s">
        <v>465</v>
      </c>
      <c r="BB32" s="3" t="s">
        <v>466</v>
      </c>
      <c r="BC32" s="3" t="s">
        <v>470</v>
      </c>
      <c r="BD32" t="s">
        <v>736</v>
      </c>
      <c r="BE32" t="s">
        <v>736</v>
      </c>
      <c r="BF32" t="s">
        <v>736</v>
      </c>
      <c r="BG32" t="s">
        <v>736</v>
      </c>
      <c r="BH32" t="s">
        <v>736</v>
      </c>
      <c r="BI32" t="s">
        <v>736</v>
      </c>
      <c r="BJ32" t="s">
        <v>736</v>
      </c>
      <c r="BK32" t="s">
        <v>736</v>
      </c>
      <c r="BL32" s="3" t="s">
        <v>467</v>
      </c>
      <c r="BM32" s="3" t="s">
        <v>469</v>
      </c>
      <c r="BN32" t="s">
        <v>736</v>
      </c>
      <c r="BO32" t="s">
        <v>736</v>
      </c>
      <c r="BP32" t="s">
        <v>1020</v>
      </c>
      <c r="BQ32" t="s">
        <v>1052</v>
      </c>
      <c r="BR32" s="4" t="s">
        <v>468</v>
      </c>
      <c r="BS32" t="s">
        <v>736</v>
      </c>
      <c r="BT32" t="s">
        <v>736</v>
      </c>
      <c r="BU32" t="s">
        <v>736</v>
      </c>
      <c r="BV32" s="33"/>
    </row>
    <row r="33" spans="1:74" s="3" customFormat="1">
      <c r="A33" s="3" t="s">
        <v>120</v>
      </c>
      <c r="B33" s="3" t="s">
        <v>121</v>
      </c>
      <c r="C33" s="3">
        <v>2020</v>
      </c>
      <c r="D33" s="3" t="s">
        <v>118</v>
      </c>
      <c r="E33" s="3" t="s">
        <v>122</v>
      </c>
      <c r="F33" s="3">
        <v>20</v>
      </c>
      <c r="G33" s="3" t="s">
        <v>331</v>
      </c>
      <c r="H33" t="s">
        <v>736</v>
      </c>
      <c r="I33" s="3" t="s">
        <v>816</v>
      </c>
      <c r="J33" t="s">
        <v>736</v>
      </c>
      <c r="K33" t="s">
        <v>736</v>
      </c>
      <c r="L33" s="3" t="s">
        <v>779</v>
      </c>
      <c r="M33" t="s">
        <v>736</v>
      </c>
      <c r="N33" t="s">
        <v>736</v>
      </c>
      <c r="O33" s="3" t="s">
        <v>850</v>
      </c>
      <c r="P33" t="s">
        <v>736</v>
      </c>
      <c r="Q33" s="3" t="s">
        <v>290</v>
      </c>
      <c r="R33" t="s">
        <v>736</v>
      </c>
      <c r="S33" t="s">
        <v>736</v>
      </c>
      <c r="T33" t="s">
        <v>901</v>
      </c>
      <c r="U33" t="s">
        <v>736</v>
      </c>
      <c r="V33" t="s">
        <v>736</v>
      </c>
      <c r="W33" t="s">
        <v>736</v>
      </c>
      <c r="X33" t="s">
        <v>736</v>
      </c>
      <c r="Y33" t="s">
        <v>736</v>
      </c>
      <c r="Z33" t="s">
        <v>736</v>
      </c>
      <c r="AA33" t="s">
        <v>736</v>
      </c>
      <c r="AB33" t="s">
        <v>736</v>
      </c>
      <c r="AC33" t="s">
        <v>736</v>
      </c>
      <c r="AD33" t="s">
        <v>736</v>
      </c>
      <c r="AE33" t="s">
        <v>736</v>
      </c>
      <c r="AF33" t="s">
        <v>736</v>
      </c>
      <c r="AG33" t="s">
        <v>736</v>
      </c>
      <c r="AH33" t="s">
        <v>736</v>
      </c>
      <c r="AI33" t="s">
        <v>736</v>
      </c>
      <c r="AJ33" t="s">
        <v>736</v>
      </c>
      <c r="AK33" t="s">
        <v>736</v>
      </c>
      <c r="AL33" t="s">
        <v>736</v>
      </c>
      <c r="AM33" t="s">
        <v>736</v>
      </c>
      <c r="AN33" t="s">
        <v>736</v>
      </c>
      <c r="AO33" t="s">
        <v>736</v>
      </c>
      <c r="AP33" t="s">
        <v>736</v>
      </c>
      <c r="AQ33" t="s">
        <v>736</v>
      </c>
      <c r="AR33" t="s">
        <v>736</v>
      </c>
      <c r="AS33" t="s">
        <v>736</v>
      </c>
      <c r="AT33" t="s">
        <v>736</v>
      </c>
      <c r="AU33" t="s">
        <v>736</v>
      </c>
      <c r="AV33" t="s">
        <v>736</v>
      </c>
      <c r="AW33" t="s">
        <v>736</v>
      </c>
      <c r="AX33" t="s">
        <v>736</v>
      </c>
      <c r="AY33" t="s">
        <v>736</v>
      </c>
      <c r="AZ33" t="s">
        <v>736</v>
      </c>
      <c r="BA33" t="s">
        <v>736</v>
      </c>
      <c r="BB33" t="s">
        <v>736</v>
      </c>
      <c r="BC33" t="s">
        <v>736</v>
      </c>
      <c r="BD33" t="s">
        <v>736</v>
      </c>
      <c r="BE33" t="s">
        <v>736</v>
      </c>
      <c r="BF33" t="s">
        <v>736</v>
      </c>
      <c r="BG33" t="s">
        <v>736</v>
      </c>
      <c r="BH33" t="s">
        <v>736</v>
      </c>
      <c r="BI33" t="s">
        <v>736</v>
      </c>
      <c r="BJ33" t="s">
        <v>736</v>
      </c>
      <c r="BK33" t="s">
        <v>736</v>
      </c>
      <c r="BL33" t="s">
        <v>736</v>
      </c>
      <c r="BM33" t="s">
        <v>736</v>
      </c>
      <c r="BN33" t="s">
        <v>736</v>
      </c>
      <c r="BO33" t="s">
        <v>736</v>
      </c>
      <c r="BP33" t="s">
        <v>736</v>
      </c>
      <c r="BQ33" t="s">
        <v>736</v>
      </c>
      <c r="BR33" t="s">
        <v>736</v>
      </c>
      <c r="BS33" t="s">
        <v>736</v>
      </c>
      <c r="BT33" t="s">
        <v>736</v>
      </c>
      <c r="BU33" t="s">
        <v>736</v>
      </c>
      <c r="BV33" s="33"/>
    </row>
    <row r="34" spans="1:74">
      <c r="A34" t="s">
        <v>123</v>
      </c>
      <c r="B34" t="s">
        <v>124</v>
      </c>
      <c r="C34">
        <v>2025</v>
      </c>
      <c r="D34" t="s">
        <v>125</v>
      </c>
      <c r="E34" t="s">
        <v>126</v>
      </c>
      <c r="F34">
        <v>15</v>
      </c>
      <c r="G34" t="s">
        <v>331</v>
      </c>
      <c r="H34" t="s">
        <v>736</v>
      </c>
      <c r="I34" t="s">
        <v>473</v>
      </c>
      <c r="J34" t="s">
        <v>780</v>
      </c>
      <c r="K34" t="s">
        <v>736</v>
      </c>
      <c r="L34" t="s">
        <v>736</v>
      </c>
      <c r="M34" t="s">
        <v>736</v>
      </c>
      <c r="N34" t="s">
        <v>851</v>
      </c>
      <c r="O34" t="s">
        <v>736</v>
      </c>
      <c r="P34" t="s">
        <v>736</v>
      </c>
      <c r="Q34" t="s">
        <v>290</v>
      </c>
      <c r="R34">
        <v>22</v>
      </c>
      <c r="S34" t="s">
        <v>471</v>
      </c>
      <c r="T34" t="s">
        <v>893</v>
      </c>
      <c r="U34" t="s">
        <v>272</v>
      </c>
      <c r="V34" t="s">
        <v>932</v>
      </c>
      <c r="W34" t="s">
        <v>220</v>
      </c>
      <c r="X34">
        <v>2000</v>
      </c>
      <c r="Y34">
        <v>29</v>
      </c>
      <c r="Z34">
        <v>196</v>
      </c>
      <c r="AA34">
        <f t="shared" si="1"/>
        <v>6.5333333333333332</v>
      </c>
      <c r="AC34">
        <v>3</v>
      </c>
      <c r="AD34" t="s">
        <v>959</v>
      </c>
      <c r="AF34" t="s">
        <v>269</v>
      </c>
      <c r="AG34" t="s">
        <v>266</v>
      </c>
      <c r="AH34" t="s">
        <v>448</v>
      </c>
      <c r="AI34" t="s">
        <v>294</v>
      </c>
      <c r="AJ34" t="s">
        <v>1073</v>
      </c>
      <c r="AK34">
        <v>11</v>
      </c>
      <c r="AL34" t="s">
        <v>1088</v>
      </c>
      <c r="AM34" t="s">
        <v>475</v>
      </c>
      <c r="AN34" t="s">
        <v>736</v>
      </c>
      <c r="AO34">
        <v>52</v>
      </c>
      <c r="AP34">
        <v>2</v>
      </c>
      <c r="AQ34">
        <v>170</v>
      </c>
      <c r="AR34">
        <v>3</v>
      </c>
      <c r="AS34" t="s">
        <v>994</v>
      </c>
      <c r="AT34" t="s">
        <v>998</v>
      </c>
      <c r="AU34" t="s">
        <v>736</v>
      </c>
      <c r="AV34" t="s">
        <v>477</v>
      </c>
      <c r="AW34" t="s">
        <v>480</v>
      </c>
      <c r="AX34" t="s">
        <v>479</v>
      </c>
      <c r="AY34" t="s">
        <v>478</v>
      </c>
      <c r="AZ34" t="s">
        <v>736</v>
      </c>
      <c r="BA34" t="s">
        <v>481</v>
      </c>
      <c r="BB34" t="s">
        <v>482</v>
      </c>
      <c r="BC34" t="s">
        <v>483</v>
      </c>
      <c r="BD34" t="s">
        <v>485</v>
      </c>
      <c r="BE34" t="s">
        <v>736</v>
      </c>
      <c r="BF34" t="s">
        <v>736</v>
      </c>
      <c r="BG34" t="s">
        <v>736</v>
      </c>
      <c r="BH34" t="s">
        <v>736</v>
      </c>
      <c r="BI34" t="s">
        <v>736</v>
      </c>
      <c r="BJ34" t="s">
        <v>736</v>
      </c>
      <c r="BK34" t="s">
        <v>736</v>
      </c>
      <c r="BL34" t="s">
        <v>736</v>
      </c>
      <c r="BM34" t="s">
        <v>736</v>
      </c>
      <c r="BN34" t="s">
        <v>736</v>
      </c>
      <c r="BO34" t="s">
        <v>736</v>
      </c>
      <c r="BP34" t="s">
        <v>1021</v>
      </c>
      <c r="BQ34" t="s">
        <v>487</v>
      </c>
      <c r="BR34" s="2" t="s">
        <v>484</v>
      </c>
      <c r="BS34" t="s">
        <v>736</v>
      </c>
      <c r="BT34" t="s">
        <v>736</v>
      </c>
      <c r="BU34" t="s">
        <v>486</v>
      </c>
      <c r="BV34" s="33"/>
    </row>
    <row r="35" spans="1:74">
      <c r="A35" t="s">
        <v>123</v>
      </c>
      <c r="B35" t="s">
        <v>124</v>
      </c>
      <c r="C35">
        <v>2025</v>
      </c>
      <c r="D35" t="s">
        <v>125</v>
      </c>
      <c r="E35" t="s">
        <v>126</v>
      </c>
      <c r="F35">
        <v>18</v>
      </c>
      <c r="G35" t="s">
        <v>331</v>
      </c>
      <c r="H35" t="s">
        <v>736</v>
      </c>
      <c r="I35" t="s">
        <v>472</v>
      </c>
      <c r="J35" t="s">
        <v>781</v>
      </c>
      <c r="K35" t="s">
        <v>736</v>
      </c>
      <c r="L35" t="s">
        <v>736</v>
      </c>
      <c r="M35" t="s">
        <v>736</v>
      </c>
      <c r="N35" t="s">
        <v>851</v>
      </c>
      <c r="O35" t="s">
        <v>736</v>
      </c>
      <c r="P35" t="s">
        <v>736</v>
      </c>
      <c r="Q35" t="s">
        <v>290</v>
      </c>
      <c r="R35" t="s">
        <v>736</v>
      </c>
      <c r="S35" t="s">
        <v>736</v>
      </c>
      <c r="T35" t="s">
        <v>902</v>
      </c>
      <c r="U35" t="s">
        <v>736</v>
      </c>
      <c r="V35" t="s">
        <v>736</v>
      </c>
      <c r="W35" t="s">
        <v>736</v>
      </c>
      <c r="X35" t="s">
        <v>736</v>
      </c>
      <c r="Y35" t="s">
        <v>736</v>
      </c>
      <c r="Z35" t="s">
        <v>736</v>
      </c>
      <c r="AA35" t="s">
        <v>736</v>
      </c>
      <c r="AB35" t="s">
        <v>736</v>
      </c>
      <c r="AC35" t="s">
        <v>736</v>
      </c>
      <c r="AD35" t="s">
        <v>736</v>
      </c>
      <c r="AE35" t="s">
        <v>736</v>
      </c>
      <c r="AF35" t="s">
        <v>736</v>
      </c>
      <c r="AG35" t="s">
        <v>736</v>
      </c>
      <c r="AH35" t="s">
        <v>736</v>
      </c>
      <c r="AI35" t="s">
        <v>736</v>
      </c>
      <c r="AJ35" t="s">
        <v>736</v>
      </c>
      <c r="AK35" t="s">
        <v>736</v>
      </c>
      <c r="AL35" t="s">
        <v>736</v>
      </c>
      <c r="AM35" t="s">
        <v>736</v>
      </c>
      <c r="AN35" t="s">
        <v>736</v>
      </c>
      <c r="AO35" t="s">
        <v>736</v>
      </c>
      <c r="AP35" t="s">
        <v>736</v>
      </c>
      <c r="AQ35" t="s">
        <v>736</v>
      </c>
      <c r="AR35" t="s">
        <v>736</v>
      </c>
      <c r="AS35" t="s">
        <v>736</v>
      </c>
      <c r="AT35" t="s">
        <v>736</v>
      </c>
      <c r="AU35" t="s">
        <v>736</v>
      </c>
      <c r="AV35" t="s">
        <v>736</v>
      </c>
      <c r="AW35" t="s">
        <v>736</v>
      </c>
      <c r="AX35" t="s">
        <v>736</v>
      </c>
      <c r="AY35" t="s">
        <v>736</v>
      </c>
      <c r="AZ35" t="s">
        <v>736</v>
      </c>
      <c r="BA35" t="s">
        <v>736</v>
      </c>
      <c r="BB35" t="s">
        <v>736</v>
      </c>
      <c r="BC35" t="s">
        <v>736</v>
      </c>
      <c r="BD35" t="s">
        <v>736</v>
      </c>
      <c r="BE35" t="s">
        <v>736</v>
      </c>
      <c r="BF35" t="s">
        <v>736</v>
      </c>
      <c r="BG35" t="s">
        <v>736</v>
      </c>
      <c r="BH35" t="s">
        <v>736</v>
      </c>
      <c r="BI35" t="s">
        <v>736</v>
      </c>
      <c r="BJ35" t="s">
        <v>736</v>
      </c>
      <c r="BK35" t="s">
        <v>736</v>
      </c>
      <c r="BL35" t="s">
        <v>736</v>
      </c>
      <c r="BM35" t="s">
        <v>736</v>
      </c>
      <c r="BN35" t="s">
        <v>736</v>
      </c>
      <c r="BO35" t="s">
        <v>736</v>
      </c>
      <c r="BP35" t="s">
        <v>736</v>
      </c>
      <c r="BQ35" t="s">
        <v>736</v>
      </c>
      <c r="BR35" t="s">
        <v>736</v>
      </c>
      <c r="BS35" t="s">
        <v>736</v>
      </c>
      <c r="BT35" t="s">
        <v>736</v>
      </c>
      <c r="BU35" t="s">
        <v>736</v>
      </c>
      <c r="BV35" s="33"/>
    </row>
    <row r="36" spans="1:74" s="3" customFormat="1">
      <c r="A36" s="3" t="s">
        <v>127</v>
      </c>
      <c r="B36" s="3" t="s">
        <v>128</v>
      </c>
      <c r="C36" s="3">
        <v>2018</v>
      </c>
      <c r="D36" s="3" t="s">
        <v>125</v>
      </c>
      <c r="E36" s="3" t="s">
        <v>129</v>
      </c>
      <c r="F36" s="3">
        <v>23</v>
      </c>
      <c r="G36" s="3" t="s">
        <v>331</v>
      </c>
      <c r="H36" t="s">
        <v>736</v>
      </c>
      <c r="I36" s="3" t="s">
        <v>817</v>
      </c>
      <c r="J36" s="3" t="s">
        <v>782</v>
      </c>
      <c r="K36" t="s">
        <v>736</v>
      </c>
      <c r="L36" t="s">
        <v>736</v>
      </c>
      <c r="M36" t="s">
        <v>736</v>
      </c>
      <c r="N36" t="s">
        <v>736</v>
      </c>
      <c r="O36" s="3" t="s">
        <v>489</v>
      </c>
      <c r="P36" t="s">
        <v>736</v>
      </c>
      <c r="Q36" s="3" t="s">
        <v>290</v>
      </c>
      <c r="R36" s="3">
        <v>26</v>
      </c>
      <c r="S36" s="3" t="s">
        <v>865</v>
      </c>
      <c r="T36" t="s">
        <v>893</v>
      </c>
      <c r="U36" s="3" t="s">
        <v>272</v>
      </c>
      <c r="V36" s="3" t="s">
        <v>933</v>
      </c>
      <c r="W36" s="3" t="s">
        <v>220</v>
      </c>
      <c r="X36" s="3">
        <v>2100</v>
      </c>
      <c r="Y36" s="3">
        <v>16</v>
      </c>
      <c r="Z36" s="3">
        <v>220</v>
      </c>
      <c r="AA36" s="3">
        <f t="shared" si="1"/>
        <v>7.7</v>
      </c>
      <c r="AB36" s="3" t="s">
        <v>366</v>
      </c>
      <c r="AC36" s="3">
        <v>3</v>
      </c>
      <c r="AD36" s="3" t="s">
        <v>960</v>
      </c>
      <c r="AE36" t="s">
        <v>980</v>
      </c>
      <c r="AF36" s="3" t="s">
        <v>269</v>
      </c>
      <c r="AG36" s="3" t="s">
        <v>266</v>
      </c>
      <c r="AH36" s="3" t="s">
        <v>490</v>
      </c>
      <c r="AI36" s="3" t="s">
        <v>294</v>
      </c>
      <c r="AJ36" t="s">
        <v>1073</v>
      </c>
      <c r="AK36">
        <v>7</v>
      </c>
      <c r="AL36" t="s">
        <v>1089</v>
      </c>
      <c r="AM36" s="3" t="s">
        <v>354</v>
      </c>
      <c r="AN36" t="s">
        <v>736</v>
      </c>
      <c r="AO36" s="3">
        <v>46.2</v>
      </c>
      <c r="AP36" s="3">
        <v>2.2000000000000002</v>
      </c>
      <c r="AQ36" s="3">
        <v>192</v>
      </c>
      <c r="AR36" s="3">
        <v>2</v>
      </c>
      <c r="AS36" s="3" t="s">
        <v>389</v>
      </c>
      <c r="AT36" s="3" t="s">
        <v>999</v>
      </c>
      <c r="AU36" s="3" t="s">
        <v>491</v>
      </c>
      <c r="AV36" t="s">
        <v>736</v>
      </c>
      <c r="AW36" t="s">
        <v>736</v>
      </c>
      <c r="AX36" t="s">
        <v>736</v>
      </c>
      <c r="AY36" s="3" t="s">
        <v>492</v>
      </c>
      <c r="AZ36" t="s">
        <v>736</v>
      </c>
      <c r="BA36" s="3" t="s">
        <v>493</v>
      </c>
      <c r="BB36" s="3" t="s">
        <v>494</v>
      </c>
      <c r="BC36" s="3" t="s">
        <v>496</v>
      </c>
      <c r="BD36" s="3" t="s">
        <v>497</v>
      </c>
      <c r="BE36" s="3" t="s">
        <v>498</v>
      </c>
      <c r="BF36" t="s">
        <v>736</v>
      </c>
      <c r="BG36" t="s">
        <v>736</v>
      </c>
      <c r="BH36" t="s">
        <v>736</v>
      </c>
      <c r="BI36" t="s">
        <v>736</v>
      </c>
      <c r="BJ36" t="s">
        <v>736</v>
      </c>
      <c r="BK36" t="s">
        <v>736</v>
      </c>
      <c r="BL36" t="s">
        <v>736</v>
      </c>
      <c r="BM36" t="s">
        <v>736</v>
      </c>
      <c r="BN36" t="s">
        <v>736</v>
      </c>
      <c r="BO36" t="s">
        <v>736</v>
      </c>
      <c r="BP36" t="s">
        <v>1022</v>
      </c>
      <c r="BQ36" t="s">
        <v>1053</v>
      </c>
      <c r="BS36" s="8" t="s">
        <v>495</v>
      </c>
      <c r="BT36" t="s">
        <v>736</v>
      </c>
      <c r="BU36" t="s">
        <v>736</v>
      </c>
      <c r="BV36" s="33"/>
    </row>
    <row r="37" spans="1:74" s="3" customFormat="1">
      <c r="A37" s="3" t="s">
        <v>127</v>
      </c>
      <c r="B37" s="3" t="s">
        <v>128</v>
      </c>
      <c r="C37" s="3">
        <v>2018</v>
      </c>
      <c r="D37" s="3" t="s">
        <v>125</v>
      </c>
      <c r="E37" s="3" t="s">
        <v>129</v>
      </c>
      <c r="F37" s="3">
        <v>12</v>
      </c>
      <c r="G37" s="3" t="s">
        <v>331</v>
      </c>
      <c r="H37" t="s">
        <v>736</v>
      </c>
      <c r="I37" s="3" t="s">
        <v>818</v>
      </c>
      <c r="J37" s="3" t="s">
        <v>783</v>
      </c>
      <c r="K37" t="s">
        <v>736</v>
      </c>
      <c r="L37" t="s">
        <v>736</v>
      </c>
      <c r="M37" t="s">
        <v>736</v>
      </c>
      <c r="N37" t="s">
        <v>736</v>
      </c>
      <c r="O37" s="3" t="s">
        <v>488</v>
      </c>
      <c r="P37" t="s">
        <v>736</v>
      </c>
      <c r="Q37" s="3" t="s">
        <v>290</v>
      </c>
      <c r="R37" t="s">
        <v>736</v>
      </c>
      <c r="S37" t="s">
        <v>736</v>
      </c>
      <c r="T37" t="s">
        <v>902</v>
      </c>
      <c r="U37" t="s">
        <v>736</v>
      </c>
      <c r="V37" t="s">
        <v>736</v>
      </c>
      <c r="W37" t="s">
        <v>736</v>
      </c>
      <c r="X37" t="s">
        <v>736</v>
      </c>
      <c r="Y37" t="s">
        <v>736</v>
      </c>
      <c r="Z37" t="s">
        <v>736</v>
      </c>
      <c r="AA37" t="s">
        <v>736</v>
      </c>
      <c r="AB37" t="s">
        <v>736</v>
      </c>
      <c r="AC37" t="s">
        <v>736</v>
      </c>
      <c r="AD37" t="s">
        <v>736</v>
      </c>
      <c r="AE37" t="s">
        <v>736</v>
      </c>
      <c r="AF37" t="s">
        <v>736</v>
      </c>
      <c r="AG37" t="s">
        <v>736</v>
      </c>
      <c r="AH37" t="s">
        <v>736</v>
      </c>
      <c r="AI37" t="s">
        <v>736</v>
      </c>
      <c r="AJ37" t="s">
        <v>736</v>
      </c>
      <c r="AK37" t="s">
        <v>736</v>
      </c>
      <c r="AL37" t="s">
        <v>736</v>
      </c>
      <c r="AM37" t="s">
        <v>736</v>
      </c>
      <c r="AN37" t="s">
        <v>736</v>
      </c>
      <c r="AO37" t="s">
        <v>736</v>
      </c>
      <c r="AP37" t="s">
        <v>736</v>
      </c>
      <c r="AQ37" t="s">
        <v>736</v>
      </c>
      <c r="AR37" t="s">
        <v>736</v>
      </c>
      <c r="AS37" t="s">
        <v>736</v>
      </c>
      <c r="AT37" t="s">
        <v>736</v>
      </c>
      <c r="AU37" t="s">
        <v>736</v>
      </c>
      <c r="AV37" t="s">
        <v>736</v>
      </c>
      <c r="AW37" t="s">
        <v>736</v>
      </c>
      <c r="AX37" t="s">
        <v>736</v>
      </c>
      <c r="AY37" t="s">
        <v>736</v>
      </c>
      <c r="AZ37" t="s">
        <v>736</v>
      </c>
      <c r="BA37" t="s">
        <v>736</v>
      </c>
      <c r="BB37" t="s">
        <v>736</v>
      </c>
      <c r="BC37" t="s">
        <v>736</v>
      </c>
      <c r="BD37" t="s">
        <v>736</v>
      </c>
      <c r="BE37" t="s">
        <v>736</v>
      </c>
      <c r="BF37" t="s">
        <v>736</v>
      </c>
      <c r="BG37" t="s">
        <v>736</v>
      </c>
      <c r="BH37" t="s">
        <v>736</v>
      </c>
      <c r="BI37" t="s">
        <v>736</v>
      </c>
      <c r="BJ37" t="s">
        <v>736</v>
      </c>
      <c r="BK37" t="s">
        <v>736</v>
      </c>
      <c r="BL37" t="s">
        <v>736</v>
      </c>
      <c r="BM37" t="s">
        <v>736</v>
      </c>
      <c r="BN37" t="s">
        <v>736</v>
      </c>
      <c r="BO37" t="s">
        <v>736</v>
      </c>
      <c r="BP37" t="s">
        <v>736</v>
      </c>
      <c r="BQ37" t="s">
        <v>736</v>
      </c>
      <c r="BR37" t="s">
        <v>736</v>
      </c>
      <c r="BS37" t="s">
        <v>736</v>
      </c>
      <c r="BT37" t="s">
        <v>736</v>
      </c>
      <c r="BU37" t="s">
        <v>736</v>
      </c>
      <c r="BV37" s="33"/>
    </row>
    <row r="38" spans="1:74">
      <c r="A38" t="s">
        <v>130</v>
      </c>
      <c r="B38" t="s">
        <v>131</v>
      </c>
      <c r="C38">
        <v>2022</v>
      </c>
      <c r="D38" t="s">
        <v>132</v>
      </c>
      <c r="E38" t="s">
        <v>133</v>
      </c>
      <c r="F38">
        <v>16</v>
      </c>
      <c r="G38" t="s">
        <v>331</v>
      </c>
      <c r="H38" t="s">
        <v>736</v>
      </c>
      <c r="I38" t="s">
        <v>819</v>
      </c>
      <c r="J38" t="s">
        <v>784</v>
      </c>
      <c r="K38" t="s">
        <v>736</v>
      </c>
      <c r="L38" t="s">
        <v>736</v>
      </c>
      <c r="M38" t="s">
        <v>736</v>
      </c>
      <c r="N38" t="s">
        <v>736</v>
      </c>
      <c r="O38" t="s">
        <v>736</v>
      </c>
      <c r="P38" t="s">
        <v>736</v>
      </c>
      <c r="Q38" t="s">
        <v>290</v>
      </c>
      <c r="R38">
        <v>32</v>
      </c>
      <c r="S38" t="s">
        <v>866</v>
      </c>
      <c r="T38" t="s">
        <v>903</v>
      </c>
      <c r="U38" t="s">
        <v>272</v>
      </c>
      <c r="V38" t="s">
        <v>934</v>
      </c>
      <c r="W38" t="s">
        <v>220</v>
      </c>
      <c r="X38">
        <v>700</v>
      </c>
      <c r="Y38">
        <v>30</v>
      </c>
      <c r="Z38">
        <v>105</v>
      </c>
      <c r="AA38">
        <f t="shared" si="1"/>
        <v>1.2250000000000001</v>
      </c>
      <c r="AC38">
        <v>3</v>
      </c>
      <c r="AD38" t="s">
        <v>961</v>
      </c>
      <c r="AE38" t="s">
        <v>981</v>
      </c>
      <c r="AF38" t="s">
        <v>269</v>
      </c>
      <c r="AG38" t="s">
        <v>736</v>
      </c>
      <c r="AH38" t="s">
        <v>736</v>
      </c>
      <c r="AI38" t="s">
        <v>502</v>
      </c>
      <c r="AJ38" t="s">
        <v>992</v>
      </c>
      <c r="AK38" t="s">
        <v>910</v>
      </c>
      <c r="AL38" t="s">
        <v>910</v>
      </c>
      <c r="AM38" t="s">
        <v>500</v>
      </c>
      <c r="AN38" t="s">
        <v>736</v>
      </c>
      <c r="AO38">
        <v>44</v>
      </c>
      <c r="AP38">
        <v>0.7</v>
      </c>
      <c r="AQ38">
        <v>63</v>
      </c>
      <c r="AR38">
        <v>2</v>
      </c>
      <c r="AS38" t="s">
        <v>503</v>
      </c>
      <c r="AT38" s="3" t="s">
        <v>997</v>
      </c>
      <c r="AU38" t="s">
        <v>501</v>
      </c>
      <c r="AV38" t="s">
        <v>736</v>
      </c>
      <c r="AW38" t="s">
        <v>736</v>
      </c>
      <c r="AX38" t="s">
        <v>499</v>
      </c>
      <c r="AY38" t="s">
        <v>504</v>
      </c>
      <c r="AZ38" t="s">
        <v>736</v>
      </c>
      <c r="BA38" t="s">
        <v>505</v>
      </c>
      <c r="BB38" t="s">
        <v>506</v>
      </c>
      <c r="BC38" t="s">
        <v>507</v>
      </c>
      <c r="BD38" t="s">
        <v>736</v>
      </c>
      <c r="BE38" t="s">
        <v>736</v>
      </c>
      <c r="BF38" t="s">
        <v>736</v>
      </c>
      <c r="BG38" t="s">
        <v>736</v>
      </c>
      <c r="BH38" t="s">
        <v>736</v>
      </c>
      <c r="BI38" t="s">
        <v>736</v>
      </c>
      <c r="BJ38" t="s">
        <v>736</v>
      </c>
      <c r="BK38" t="s">
        <v>736</v>
      </c>
      <c r="BL38" t="s">
        <v>736</v>
      </c>
      <c r="BM38" t="s">
        <v>736</v>
      </c>
      <c r="BN38" t="s">
        <v>736</v>
      </c>
      <c r="BO38" t="s">
        <v>736</v>
      </c>
      <c r="BP38" t="s">
        <v>1023</v>
      </c>
      <c r="BQ38" t="s">
        <v>1054</v>
      </c>
      <c r="BR38" s="2" t="s">
        <v>508</v>
      </c>
      <c r="BS38" t="s">
        <v>736</v>
      </c>
      <c r="BT38" t="s">
        <v>736</v>
      </c>
      <c r="BU38" t="s">
        <v>570</v>
      </c>
      <c r="BV38" s="33"/>
    </row>
    <row r="39" spans="1:74">
      <c r="A39" t="s">
        <v>130</v>
      </c>
      <c r="B39" t="s">
        <v>131</v>
      </c>
      <c r="C39">
        <v>2022</v>
      </c>
      <c r="D39" t="s">
        <v>132</v>
      </c>
      <c r="E39" t="s">
        <v>133</v>
      </c>
      <c r="F39">
        <v>75</v>
      </c>
      <c r="G39" t="s">
        <v>331</v>
      </c>
      <c r="H39" t="s">
        <v>736</v>
      </c>
      <c r="I39" t="s">
        <v>820</v>
      </c>
      <c r="J39" t="s">
        <v>785</v>
      </c>
      <c r="K39" t="s">
        <v>736</v>
      </c>
      <c r="L39" t="s">
        <v>736</v>
      </c>
      <c r="M39" t="s">
        <v>736</v>
      </c>
      <c r="N39" t="s">
        <v>736</v>
      </c>
      <c r="O39" t="s">
        <v>736</v>
      </c>
      <c r="P39" t="s">
        <v>736</v>
      </c>
      <c r="Q39" t="s">
        <v>290</v>
      </c>
      <c r="R39" t="s">
        <v>736</v>
      </c>
      <c r="S39" t="s">
        <v>736</v>
      </c>
      <c r="T39" t="s">
        <v>904</v>
      </c>
      <c r="U39" t="s">
        <v>736</v>
      </c>
      <c r="V39" t="s">
        <v>736</v>
      </c>
      <c r="W39" t="s">
        <v>736</v>
      </c>
      <c r="X39" t="s">
        <v>736</v>
      </c>
      <c r="Y39" t="s">
        <v>736</v>
      </c>
      <c r="Z39" t="s">
        <v>736</v>
      </c>
      <c r="AA39" t="s">
        <v>736</v>
      </c>
      <c r="AB39" t="s">
        <v>736</v>
      </c>
      <c r="AC39" t="s">
        <v>736</v>
      </c>
      <c r="AD39" t="s">
        <v>736</v>
      </c>
      <c r="AE39" t="s">
        <v>736</v>
      </c>
      <c r="AF39" t="s">
        <v>736</v>
      </c>
      <c r="AG39" t="s">
        <v>736</v>
      </c>
      <c r="AH39" t="s">
        <v>736</v>
      </c>
      <c r="AI39" t="s">
        <v>736</v>
      </c>
      <c r="AJ39" t="s">
        <v>736</v>
      </c>
      <c r="AK39" t="s">
        <v>736</v>
      </c>
      <c r="AL39" t="s">
        <v>736</v>
      </c>
      <c r="AM39" t="s">
        <v>736</v>
      </c>
      <c r="AN39" t="s">
        <v>736</v>
      </c>
      <c r="AO39" t="s">
        <v>736</v>
      </c>
      <c r="AP39" t="s">
        <v>736</v>
      </c>
      <c r="AQ39" t="s">
        <v>736</v>
      </c>
      <c r="AR39" t="s">
        <v>736</v>
      </c>
      <c r="AS39" t="s">
        <v>736</v>
      </c>
      <c r="AT39" t="s">
        <v>736</v>
      </c>
      <c r="AU39" t="s">
        <v>736</v>
      </c>
      <c r="AV39" t="s">
        <v>736</v>
      </c>
      <c r="AW39" t="s">
        <v>736</v>
      </c>
      <c r="AX39" t="s">
        <v>736</v>
      </c>
      <c r="AY39" t="s">
        <v>736</v>
      </c>
      <c r="AZ39" t="s">
        <v>736</v>
      </c>
      <c r="BA39" t="s">
        <v>736</v>
      </c>
      <c r="BB39" t="s">
        <v>736</v>
      </c>
      <c r="BC39" t="s">
        <v>736</v>
      </c>
      <c r="BD39" t="s">
        <v>736</v>
      </c>
      <c r="BE39" t="s">
        <v>736</v>
      </c>
      <c r="BF39" t="s">
        <v>736</v>
      </c>
      <c r="BG39" t="s">
        <v>736</v>
      </c>
      <c r="BH39" t="s">
        <v>736</v>
      </c>
      <c r="BI39" t="s">
        <v>736</v>
      </c>
      <c r="BJ39" t="s">
        <v>736</v>
      </c>
      <c r="BK39" t="s">
        <v>736</v>
      </c>
      <c r="BL39" t="s">
        <v>736</v>
      </c>
      <c r="BM39" t="s">
        <v>736</v>
      </c>
      <c r="BN39" t="s">
        <v>736</v>
      </c>
      <c r="BO39" t="s">
        <v>736</v>
      </c>
      <c r="BP39" t="s">
        <v>736</v>
      </c>
      <c r="BQ39" t="s">
        <v>736</v>
      </c>
      <c r="BR39" t="s">
        <v>736</v>
      </c>
      <c r="BS39" t="s">
        <v>736</v>
      </c>
      <c r="BT39" t="s">
        <v>736</v>
      </c>
      <c r="BU39" t="s">
        <v>736</v>
      </c>
      <c r="BV39" s="33"/>
    </row>
    <row r="40" spans="1:74" s="3" customFormat="1">
      <c r="A40" s="3" t="s">
        <v>134</v>
      </c>
      <c r="B40" s="3" t="s">
        <v>135</v>
      </c>
      <c r="C40" s="3">
        <v>2023</v>
      </c>
      <c r="D40" s="3" t="s">
        <v>73</v>
      </c>
      <c r="E40" s="3" t="s">
        <v>136</v>
      </c>
      <c r="F40" s="3">
        <v>52</v>
      </c>
      <c r="G40" s="3" t="s">
        <v>331</v>
      </c>
      <c r="H40" t="s">
        <v>736</v>
      </c>
      <c r="I40" s="3" t="s">
        <v>509</v>
      </c>
      <c r="J40" t="s">
        <v>736</v>
      </c>
      <c r="K40" t="s">
        <v>736</v>
      </c>
      <c r="L40" s="3" t="s">
        <v>512</v>
      </c>
      <c r="M40" t="s">
        <v>736</v>
      </c>
      <c r="N40" s="3" t="s">
        <v>514</v>
      </c>
      <c r="O40" t="s">
        <v>736</v>
      </c>
      <c r="P40" t="s">
        <v>736</v>
      </c>
      <c r="Q40" s="3" t="s">
        <v>289</v>
      </c>
      <c r="R40" s="3">
        <v>38</v>
      </c>
      <c r="S40" s="3" t="s">
        <v>511</v>
      </c>
      <c r="T40" t="s">
        <v>889</v>
      </c>
      <c r="U40" s="3" t="s">
        <v>272</v>
      </c>
      <c r="V40" s="3" t="s">
        <v>935</v>
      </c>
      <c r="W40" s="3" t="s">
        <v>220</v>
      </c>
      <c r="X40" s="3">
        <v>2000</v>
      </c>
      <c r="Y40" s="3">
        <v>21</v>
      </c>
      <c r="Z40" s="3">
        <v>240</v>
      </c>
      <c r="AA40" s="3">
        <f t="shared" si="1"/>
        <v>8</v>
      </c>
      <c r="AB40" s="3" t="s">
        <v>263</v>
      </c>
      <c r="AC40" s="3">
        <v>3</v>
      </c>
      <c r="AD40" s="3" t="s">
        <v>962</v>
      </c>
      <c r="AE40" t="s">
        <v>982</v>
      </c>
      <c r="AF40" s="3" t="s">
        <v>269</v>
      </c>
      <c r="AG40" s="3" t="s">
        <v>266</v>
      </c>
      <c r="AH40" s="3" t="s">
        <v>517</v>
      </c>
      <c r="AI40" s="3" t="s">
        <v>294</v>
      </c>
      <c r="AJ40" t="s">
        <v>1073</v>
      </c>
      <c r="AK40">
        <v>7</v>
      </c>
      <c r="AL40" t="s">
        <v>1090</v>
      </c>
      <c r="AM40" s="3" t="s">
        <v>516</v>
      </c>
      <c r="AN40" t="s">
        <v>736</v>
      </c>
      <c r="AO40" s="3">
        <v>46</v>
      </c>
      <c r="AP40" s="3">
        <v>2</v>
      </c>
      <c r="AQ40" s="3">
        <v>208</v>
      </c>
      <c r="AR40" s="3">
        <v>7</v>
      </c>
      <c r="AS40" s="3" t="s">
        <v>389</v>
      </c>
      <c r="AT40" s="3" t="s">
        <v>997</v>
      </c>
      <c r="AU40" t="s">
        <v>736</v>
      </c>
      <c r="AV40" t="s">
        <v>736</v>
      </c>
      <c r="AW40" t="s">
        <v>736</v>
      </c>
      <c r="AX40" t="s">
        <v>736</v>
      </c>
      <c r="AY40" s="3" t="s">
        <v>518</v>
      </c>
      <c r="AZ40" t="s">
        <v>736</v>
      </c>
      <c r="BA40" s="3" t="s">
        <v>519</v>
      </c>
      <c r="BB40" s="3" t="s">
        <v>520</v>
      </c>
      <c r="BC40" s="3" t="s">
        <v>523</v>
      </c>
      <c r="BD40" t="s">
        <v>736</v>
      </c>
      <c r="BE40" t="s">
        <v>736</v>
      </c>
      <c r="BF40" t="s">
        <v>736</v>
      </c>
      <c r="BG40" s="3" t="s">
        <v>521</v>
      </c>
      <c r="BH40" s="3" t="s">
        <v>522</v>
      </c>
      <c r="BI40" t="s">
        <v>736</v>
      </c>
      <c r="BJ40" t="s">
        <v>736</v>
      </c>
      <c r="BK40" t="s">
        <v>736</v>
      </c>
      <c r="BL40" t="s">
        <v>736</v>
      </c>
      <c r="BM40" t="s">
        <v>736</v>
      </c>
      <c r="BN40" t="s">
        <v>736</v>
      </c>
      <c r="BO40" t="s">
        <v>736</v>
      </c>
      <c r="BP40" t="s">
        <v>1024</v>
      </c>
      <c r="BQ40" t="s">
        <v>1055</v>
      </c>
      <c r="BS40" t="s">
        <v>736</v>
      </c>
      <c r="BT40" s="3" t="s">
        <v>524</v>
      </c>
      <c r="BV40" s="33"/>
    </row>
    <row r="41" spans="1:74" s="3" customFormat="1">
      <c r="A41" s="3" t="s">
        <v>134</v>
      </c>
      <c r="B41" s="3" t="s">
        <v>135</v>
      </c>
      <c r="C41" s="3">
        <v>2023</v>
      </c>
      <c r="D41" s="3" t="s">
        <v>73</v>
      </c>
      <c r="E41" s="3" t="s">
        <v>136</v>
      </c>
      <c r="F41" s="3">
        <v>73</v>
      </c>
      <c r="G41" s="3" t="s">
        <v>331</v>
      </c>
      <c r="H41" t="s">
        <v>736</v>
      </c>
      <c r="I41" s="3" t="s">
        <v>510</v>
      </c>
      <c r="J41" t="s">
        <v>736</v>
      </c>
      <c r="K41" t="s">
        <v>736</v>
      </c>
      <c r="L41" s="3" t="s">
        <v>513</v>
      </c>
      <c r="M41" t="s">
        <v>736</v>
      </c>
      <c r="N41" s="3" t="s">
        <v>515</v>
      </c>
      <c r="O41" t="s">
        <v>736</v>
      </c>
      <c r="P41" t="s">
        <v>736</v>
      </c>
      <c r="Q41" s="3" t="s">
        <v>289</v>
      </c>
      <c r="R41" t="s">
        <v>736</v>
      </c>
      <c r="S41" t="s">
        <v>736</v>
      </c>
      <c r="T41" t="s">
        <v>890</v>
      </c>
      <c r="U41" t="s">
        <v>736</v>
      </c>
      <c r="V41" t="s">
        <v>736</v>
      </c>
      <c r="W41" t="s">
        <v>736</v>
      </c>
      <c r="X41" t="s">
        <v>736</v>
      </c>
      <c r="Y41" t="s">
        <v>736</v>
      </c>
      <c r="Z41" t="s">
        <v>736</v>
      </c>
      <c r="AA41" t="s">
        <v>736</v>
      </c>
      <c r="AB41" t="s">
        <v>736</v>
      </c>
      <c r="AC41" t="s">
        <v>736</v>
      </c>
      <c r="AD41" t="s">
        <v>736</v>
      </c>
      <c r="AE41" t="s">
        <v>736</v>
      </c>
      <c r="AF41" t="s">
        <v>736</v>
      </c>
      <c r="AG41" t="s">
        <v>736</v>
      </c>
      <c r="AH41" t="s">
        <v>736</v>
      </c>
      <c r="AI41" t="s">
        <v>736</v>
      </c>
      <c r="AJ41" t="s">
        <v>736</v>
      </c>
      <c r="AK41" t="s">
        <v>736</v>
      </c>
      <c r="AL41" t="s">
        <v>736</v>
      </c>
      <c r="AM41" t="s">
        <v>736</v>
      </c>
      <c r="AN41" t="s">
        <v>736</v>
      </c>
      <c r="AO41" t="s">
        <v>736</v>
      </c>
      <c r="AP41" t="s">
        <v>736</v>
      </c>
      <c r="AQ41" t="s">
        <v>736</v>
      </c>
      <c r="AR41" t="s">
        <v>736</v>
      </c>
      <c r="AS41" t="s">
        <v>736</v>
      </c>
      <c r="AT41" t="s">
        <v>736</v>
      </c>
      <c r="AU41" t="s">
        <v>736</v>
      </c>
      <c r="AV41" t="s">
        <v>736</v>
      </c>
      <c r="AW41" t="s">
        <v>736</v>
      </c>
      <c r="AX41" t="s">
        <v>736</v>
      </c>
      <c r="AY41" t="s">
        <v>736</v>
      </c>
      <c r="AZ41" t="s">
        <v>736</v>
      </c>
      <c r="BA41" t="s">
        <v>736</v>
      </c>
      <c r="BB41" t="s">
        <v>736</v>
      </c>
      <c r="BC41" t="s">
        <v>736</v>
      </c>
      <c r="BD41" t="s">
        <v>736</v>
      </c>
      <c r="BE41" t="s">
        <v>736</v>
      </c>
      <c r="BF41" t="s">
        <v>736</v>
      </c>
      <c r="BG41" t="s">
        <v>736</v>
      </c>
      <c r="BH41" t="s">
        <v>736</v>
      </c>
      <c r="BI41" t="s">
        <v>736</v>
      </c>
      <c r="BJ41" t="s">
        <v>736</v>
      </c>
      <c r="BK41" t="s">
        <v>736</v>
      </c>
      <c r="BL41" t="s">
        <v>736</v>
      </c>
      <c r="BM41" t="s">
        <v>736</v>
      </c>
      <c r="BN41" t="s">
        <v>736</v>
      </c>
      <c r="BO41" t="s">
        <v>736</v>
      </c>
      <c r="BP41" t="s">
        <v>736</v>
      </c>
      <c r="BQ41" t="s">
        <v>736</v>
      </c>
      <c r="BR41" t="s">
        <v>736</v>
      </c>
      <c r="BS41" t="s">
        <v>736</v>
      </c>
      <c r="BT41" t="s">
        <v>736</v>
      </c>
      <c r="BU41" t="s">
        <v>736</v>
      </c>
      <c r="BV41" s="33"/>
    </row>
    <row r="42" spans="1:74">
      <c r="A42" t="s">
        <v>137</v>
      </c>
      <c r="B42" t="s">
        <v>138</v>
      </c>
      <c r="C42">
        <v>2025</v>
      </c>
      <c r="D42" t="s">
        <v>139</v>
      </c>
      <c r="E42" t="s">
        <v>140</v>
      </c>
      <c r="F42">
        <v>26</v>
      </c>
      <c r="G42" t="s">
        <v>525</v>
      </c>
      <c r="H42" t="s">
        <v>736</v>
      </c>
      <c r="I42" t="s">
        <v>528</v>
      </c>
      <c r="J42" t="s">
        <v>786</v>
      </c>
      <c r="K42" t="s">
        <v>736</v>
      </c>
      <c r="L42" t="s">
        <v>787</v>
      </c>
      <c r="M42" t="s">
        <v>736</v>
      </c>
      <c r="N42" t="s">
        <v>530</v>
      </c>
      <c r="O42" t="s">
        <v>736</v>
      </c>
      <c r="P42" t="s">
        <v>736</v>
      </c>
      <c r="Q42" t="s">
        <v>302</v>
      </c>
      <c r="R42">
        <v>24</v>
      </c>
      <c r="S42" t="s">
        <v>529</v>
      </c>
      <c r="T42" t="s">
        <v>905</v>
      </c>
      <c r="U42" t="s">
        <v>272</v>
      </c>
      <c r="V42" t="s">
        <v>936</v>
      </c>
      <c r="W42" t="s">
        <v>220</v>
      </c>
      <c r="X42">
        <v>2000</v>
      </c>
      <c r="Y42">
        <v>30</v>
      </c>
      <c r="Z42">
        <v>186</v>
      </c>
      <c r="AA42">
        <f t="shared" si="1"/>
        <v>6.2</v>
      </c>
      <c r="AB42" t="s">
        <v>263</v>
      </c>
      <c r="AC42">
        <v>3</v>
      </c>
      <c r="AD42" t="s">
        <v>963</v>
      </c>
      <c r="AE42" t="s">
        <v>983</v>
      </c>
      <c r="AF42" t="s">
        <v>269</v>
      </c>
      <c r="AG42" t="s">
        <v>276</v>
      </c>
      <c r="AH42" t="s">
        <v>532</v>
      </c>
      <c r="AI42" t="s">
        <v>294</v>
      </c>
      <c r="AJ42" t="s">
        <v>1073</v>
      </c>
      <c r="AK42">
        <v>7</v>
      </c>
      <c r="AL42" t="s">
        <v>1091</v>
      </c>
      <c r="AM42" t="s">
        <v>531</v>
      </c>
      <c r="AN42" t="s">
        <v>736</v>
      </c>
      <c r="AO42">
        <v>44</v>
      </c>
      <c r="AP42">
        <v>2</v>
      </c>
      <c r="AR42">
        <v>2</v>
      </c>
      <c r="AS42" t="s">
        <v>398</v>
      </c>
      <c r="AT42" s="3" t="s">
        <v>997</v>
      </c>
      <c r="AU42" t="s">
        <v>736</v>
      </c>
      <c r="AV42" t="s">
        <v>736</v>
      </c>
      <c r="AW42" t="s">
        <v>736</v>
      </c>
      <c r="AX42" t="s">
        <v>736</v>
      </c>
      <c r="AY42" t="s">
        <v>534</v>
      </c>
      <c r="AZ42" t="s">
        <v>736</v>
      </c>
      <c r="BA42" t="s">
        <v>535</v>
      </c>
      <c r="BB42" t="s">
        <v>536</v>
      </c>
      <c r="BC42" t="s">
        <v>538</v>
      </c>
      <c r="BD42" t="s">
        <v>539</v>
      </c>
      <c r="BE42" t="s">
        <v>540</v>
      </c>
      <c r="BG42" t="s">
        <v>541</v>
      </c>
      <c r="BH42" t="s">
        <v>736</v>
      </c>
      <c r="BI42" t="s">
        <v>736</v>
      </c>
      <c r="BJ42" t="s">
        <v>736</v>
      </c>
      <c r="BK42" t="s">
        <v>736</v>
      </c>
      <c r="BL42" t="s">
        <v>736</v>
      </c>
      <c r="BM42" t="s">
        <v>736</v>
      </c>
      <c r="BN42" t="s">
        <v>736</v>
      </c>
      <c r="BO42" t="s">
        <v>736</v>
      </c>
      <c r="BP42" t="s">
        <v>1025</v>
      </c>
      <c r="BQ42" t="s">
        <v>1056</v>
      </c>
      <c r="BR42" s="2" t="s">
        <v>537</v>
      </c>
      <c r="BS42" t="s">
        <v>736</v>
      </c>
      <c r="BT42" t="s">
        <v>736</v>
      </c>
      <c r="BU42" t="s">
        <v>533</v>
      </c>
      <c r="BV42" s="33"/>
    </row>
    <row r="43" spans="1:74" s="3" customFormat="1">
      <c r="A43" s="3" t="s">
        <v>141</v>
      </c>
      <c r="B43" s="3" t="s">
        <v>142</v>
      </c>
      <c r="C43" s="3">
        <v>2025</v>
      </c>
      <c r="D43" s="3" t="s">
        <v>143</v>
      </c>
      <c r="E43" s="3" t="s">
        <v>144</v>
      </c>
      <c r="F43" s="3">
        <v>48</v>
      </c>
      <c r="G43" s="3" t="s">
        <v>331</v>
      </c>
      <c r="H43" t="s">
        <v>736</v>
      </c>
      <c r="I43" s="3" t="s">
        <v>543</v>
      </c>
      <c r="J43" t="s">
        <v>736</v>
      </c>
      <c r="K43" t="s">
        <v>736</v>
      </c>
      <c r="L43" s="3" t="s">
        <v>788</v>
      </c>
      <c r="M43" t="s">
        <v>736</v>
      </c>
      <c r="N43" s="3" t="s">
        <v>545</v>
      </c>
      <c r="O43" t="s">
        <v>736</v>
      </c>
      <c r="P43" t="s">
        <v>736</v>
      </c>
      <c r="Q43" s="3" t="s">
        <v>289</v>
      </c>
      <c r="R43" s="3">
        <v>92</v>
      </c>
      <c r="S43" s="3" t="s">
        <v>542</v>
      </c>
      <c r="T43" t="s">
        <v>906</v>
      </c>
      <c r="U43" s="3" t="s">
        <v>272</v>
      </c>
      <c r="V43" s="3" t="s">
        <v>937</v>
      </c>
      <c r="W43" s="3" t="s">
        <v>220</v>
      </c>
      <c r="X43" s="3">
        <v>2000</v>
      </c>
      <c r="Y43" s="3">
        <v>30</v>
      </c>
      <c r="Z43" s="3">
        <v>180</v>
      </c>
      <c r="AA43" s="3">
        <f t="shared" si="1"/>
        <v>6</v>
      </c>
      <c r="AB43" s="3" t="s">
        <v>263</v>
      </c>
      <c r="AC43" s="3">
        <v>3</v>
      </c>
      <c r="AD43" s="3" t="s">
        <v>267</v>
      </c>
      <c r="AE43" t="s">
        <v>984</v>
      </c>
      <c r="AF43" s="3" t="s">
        <v>269</v>
      </c>
      <c r="AG43" s="3" t="s">
        <v>386</v>
      </c>
      <c r="AH43" s="3" t="s">
        <v>415</v>
      </c>
      <c r="AI43" s="3" t="s">
        <v>294</v>
      </c>
      <c r="AJ43" t="s">
        <v>1072</v>
      </c>
      <c r="AK43">
        <v>33</v>
      </c>
      <c r="AL43" t="s">
        <v>1092</v>
      </c>
      <c r="AM43" s="3" t="s">
        <v>547</v>
      </c>
      <c r="AN43" t="s">
        <v>736</v>
      </c>
      <c r="AO43" s="3">
        <v>60</v>
      </c>
      <c r="AP43" s="3">
        <v>2</v>
      </c>
      <c r="AQ43" s="3">
        <v>137</v>
      </c>
      <c r="AR43" s="3">
        <v>2</v>
      </c>
      <c r="AS43" s="3" t="s">
        <v>548</v>
      </c>
      <c r="AT43" s="3" t="s">
        <v>997</v>
      </c>
      <c r="AU43" t="s">
        <v>736</v>
      </c>
      <c r="AV43" t="s">
        <v>736</v>
      </c>
      <c r="AW43" t="s">
        <v>736</v>
      </c>
      <c r="AX43" t="s">
        <v>736</v>
      </c>
      <c r="AY43" s="3" t="s">
        <v>549</v>
      </c>
      <c r="AZ43" t="s">
        <v>736</v>
      </c>
      <c r="BA43" s="3" t="s">
        <v>550</v>
      </c>
      <c r="BB43" s="3" t="s">
        <v>551</v>
      </c>
      <c r="BC43" s="3" t="s">
        <v>552</v>
      </c>
      <c r="BD43" t="s">
        <v>736</v>
      </c>
      <c r="BE43" t="s">
        <v>736</v>
      </c>
      <c r="BF43" t="s">
        <v>736</v>
      </c>
      <c r="BG43" s="3" t="s">
        <v>553</v>
      </c>
      <c r="BH43" t="s">
        <v>736</v>
      </c>
      <c r="BI43" t="s">
        <v>736</v>
      </c>
      <c r="BJ43" t="s">
        <v>736</v>
      </c>
      <c r="BK43" t="s">
        <v>736</v>
      </c>
      <c r="BL43" s="3" t="s">
        <v>554</v>
      </c>
      <c r="BM43" s="3" t="s">
        <v>555</v>
      </c>
      <c r="BN43" t="s">
        <v>736</v>
      </c>
      <c r="BO43" t="s">
        <v>736</v>
      </c>
      <c r="BP43" t="s">
        <v>1026</v>
      </c>
      <c r="BQ43" t="s">
        <v>1057</v>
      </c>
      <c r="BR43" s="4" t="s">
        <v>561</v>
      </c>
      <c r="BS43" s="8" t="s">
        <v>1106</v>
      </c>
      <c r="BT43" t="s">
        <v>736</v>
      </c>
      <c r="BU43" s="3" t="s">
        <v>562</v>
      </c>
      <c r="BV43" s="33"/>
    </row>
    <row r="44" spans="1:74" s="3" customFormat="1">
      <c r="A44" s="3" t="s">
        <v>141</v>
      </c>
      <c r="B44" s="3" t="s">
        <v>142</v>
      </c>
      <c r="C44" s="3">
        <v>2025</v>
      </c>
      <c r="D44" s="3" t="s">
        <v>143</v>
      </c>
      <c r="E44" s="3" t="s">
        <v>144</v>
      </c>
      <c r="F44" s="3">
        <v>60</v>
      </c>
      <c r="G44" s="3" t="s">
        <v>331</v>
      </c>
      <c r="H44" t="s">
        <v>736</v>
      </c>
      <c r="I44" s="3" t="s">
        <v>544</v>
      </c>
      <c r="J44" t="s">
        <v>736</v>
      </c>
      <c r="K44" t="s">
        <v>736</v>
      </c>
      <c r="L44" s="3" t="s">
        <v>789</v>
      </c>
      <c r="M44" t="s">
        <v>736</v>
      </c>
      <c r="N44" s="3" t="s">
        <v>546</v>
      </c>
      <c r="O44" t="s">
        <v>736</v>
      </c>
      <c r="P44" t="s">
        <v>736</v>
      </c>
      <c r="Q44" s="3" t="s">
        <v>289</v>
      </c>
      <c r="R44" t="s">
        <v>736</v>
      </c>
      <c r="S44" t="s">
        <v>736</v>
      </c>
      <c r="T44" t="s">
        <v>907</v>
      </c>
      <c r="U44" t="s">
        <v>736</v>
      </c>
      <c r="V44" t="s">
        <v>736</v>
      </c>
      <c r="W44" t="s">
        <v>736</v>
      </c>
      <c r="X44" t="s">
        <v>736</v>
      </c>
      <c r="Y44" t="s">
        <v>736</v>
      </c>
      <c r="Z44" t="s">
        <v>736</v>
      </c>
      <c r="AA44" t="s">
        <v>736</v>
      </c>
      <c r="AB44" t="s">
        <v>736</v>
      </c>
      <c r="AC44" t="s">
        <v>736</v>
      </c>
      <c r="AD44" t="s">
        <v>736</v>
      </c>
      <c r="AE44" t="s">
        <v>736</v>
      </c>
      <c r="AF44" t="s">
        <v>736</v>
      </c>
      <c r="AG44" t="s">
        <v>736</v>
      </c>
      <c r="AH44" t="s">
        <v>736</v>
      </c>
      <c r="AI44" t="s">
        <v>736</v>
      </c>
      <c r="AJ44" t="s">
        <v>736</v>
      </c>
      <c r="AK44" t="s">
        <v>736</v>
      </c>
      <c r="AL44" t="s">
        <v>736</v>
      </c>
      <c r="AM44" t="s">
        <v>736</v>
      </c>
      <c r="AN44" t="s">
        <v>736</v>
      </c>
      <c r="AO44" t="s">
        <v>736</v>
      </c>
      <c r="AP44" t="s">
        <v>736</v>
      </c>
      <c r="AQ44" t="s">
        <v>736</v>
      </c>
      <c r="AR44" t="s">
        <v>736</v>
      </c>
      <c r="AS44" t="s">
        <v>736</v>
      </c>
      <c r="AT44" t="s">
        <v>736</v>
      </c>
      <c r="AU44" t="s">
        <v>736</v>
      </c>
      <c r="AV44" t="s">
        <v>736</v>
      </c>
      <c r="AW44" t="s">
        <v>736</v>
      </c>
      <c r="AX44" t="s">
        <v>736</v>
      </c>
      <c r="AY44" t="s">
        <v>736</v>
      </c>
      <c r="AZ44" t="s">
        <v>736</v>
      </c>
      <c r="BA44" t="s">
        <v>736</v>
      </c>
      <c r="BB44" t="s">
        <v>736</v>
      </c>
      <c r="BC44" t="s">
        <v>736</v>
      </c>
      <c r="BD44" t="s">
        <v>736</v>
      </c>
      <c r="BE44" t="s">
        <v>736</v>
      </c>
      <c r="BF44" t="s">
        <v>736</v>
      </c>
      <c r="BG44" t="s">
        <v>736</v>
      </c>
      <c r="BH44" t="s">
        <v>736</v>
      </c>
      <c r="BI44" t="s">
        <v>736</v>
      </c>
      <c r="BJ44" t="s">
        <v>736</v>
      </c>
      <c r="BK44" t="s">
        <v>736</v>
      </c>
      <c r="BL44" t="s">
        <v>736</v>
      </c>
      <c r="BM44" t="s">
        <v>736</v>
      </c>
      <c r="BN44" t="s">
        <v>736</v>
      </c>
      <c r="BO44" t="s">
        <v>736</v>
      </c>
      <c r="BP44" t="s">
        <v>736</v>
      </c>
      <c r="BQ44" t="s">
        <v>736</v>
      </c>
      <c r="BR44" t="s">
        <v>736</v>
      </c>
      <c r="BS44" t="s">
        <v>736</v>
      </c>
      <c r="BT44" t="s">
        <v>736</v>
      </c>
      <c r="BU44" t="s">
        <v>736</v>
      </c>
      <c r="BV44" s="33"/>
    </row>
    <row r="45" spans="1:74" ht="28.5">
      <c r="A45" t="s">
        <v>145</v>
      </c>
      <c r="B45" t="s">
        <v>146</v>
      </c>
      <c r="C45">
        <v>2021</v>
      </c>
      <c r="D45" t="s">
        <v>147</v>
      </c>
      <c r="E45" t="s">
        <v>148</v>
      </c>
      <c r="F45">
        <v>18</v>
      </c>
      <c r="G45" t="s">
        <v>563</v>
      </c>
      <c r="H45" t="s">
        <v>736</v>
      </c>
      <c r="I45" t="s">
        <v>564</v>
      </c>
      <c r="J45" t="s">
        <v>790</v>
      </c>
      <c r="K45" t="s">
        <v>736</v>
      </c>
      <c r="L45" s="1" t="s">
        <v>791</v>
      </c>
      <c r="M45" t="s">
        <v>736</v>
      </c>
      <c r="N45" t="s">
        <v>736</v>
      </c>
      <c r="O45" t="s">
        <v>736</v>
      </c>
      <c r="P45" t="s">
        <v>565</v>
      </c>
      <c r="Q45" t="s">
        <v>290</v>
      </c>
      <c r="R45" t="s">
        <v>638</v>
      </c>
      <c r="S45" t="s">
        <v>638</v>
      </c>
      <c r="T45" t="s">
        <v>908</v>
      </c>
      <c r="U45" t="s">
        <v>272</v>
      </c>
      <c r="V45" t="s">
        <v>945</v>
      </c>
      <c r="W45" t="s">
        <v>220</v>
      </c>
      <c r="X45">
        <v>2700</v>
      </c>
      <c r="Y45">
        <v>30</v>
      </c>
      <c r="Z45">
        <v>253</v>
      </c>
      <c r="AA45">
        <f t="shared" si="1"/>
        <v>11.385</v>
      </c>
      <c r="AB45" t="s">
        <v>566</v>
      </c>
      <c r="AC45">
        <v>3</v>
      </c>
      <c r="AD45" t="s">
        <v>567</v>
      </c>
      <c r="AE45" t="s">
        <v>736</v>
      </c>
      <c r="AF45" t="s">
        <v>269</v>
      </c>
      <c r="AG45" t="s">
        <v>270</v>
      </c>
      <c r="AH45" t="s">
        <v>568</v>
      </c>
      <c r="AI45" t="s">
        <v>294</v>
      </c>
      <c r="AJ45" t="s">
        <v>1073</v>
      </c>
      <c r="AK45">
        <v>8</v>
      </c>
      <c r="AL45" t="s">
        <v>1093</v>
      </c>
      <c r="AM45" t="s">
        <v>569</v>
      </c>
      <c r="AN45" t="s">
        <v>736</v>
      </c>
      <c r="AO45">
        <v>59.4</v>
      </c>
      <c r="AP45">
        <v>2.7</v>
      </c>
      <c r="AQ45">
        <v>231</v>
      </c>
      <c r="AR45">
        <v>2</v>
      </c>
      <c r="AS45" t="s">
        <v>398</v>
      </c>
      <c r="AT45" t="s">
        <v>999</v>
      </c>
      <c r="AU45" t="s">
        <v>571</v>
      </c>
      <c r="AV45" t="s">
        <v>736</v>
      </c>
      <c r="AW45" t="s">
        <v>285</v>
      </c>
      <c r="AX45" t="s">
        <v>736</v>
      </c>
      <c r="AY45" t="s">
        <v>572</v>
      </c>
      <c r="AZ45" t="s">
        <v>736</v>
      </c>
      <c r="BA45" t="s">
        <v>573</v>
      </c>
      <c r="BB45" t="s">
        <v>574</v>
      </c>
      <c r="BC45" t="s">
        <v>736</v>
      </c>
      <c r="BD45" t="s">
        <v>736</v>
      </c>
      <c r="BE45" t="s">
        <v>736</v>
      </c>
      <c r="BF45" t="s">
        <v>736</v>
      </c>
      <c r="BG45" t="s">
        <v>736</v>
      </c>
      <c r="BH45" t="s">
        <v>736</v>
      </c>
      <c r="BI45" t="s">
        <v>736</v>
      </c>
      <c r="BJ45" t="s">
        <v>736</v>
      </c>
      <c r="BK45" t="s">
        <v>736</v>
      </c>
      <c r="BL45" t="s">
        <v>736</v>
      </c>
      <c r="BM45" t="s">
        <v>736</v>
      </c>
      <c r="BN45" t="s">
        <v>736</v>
      </c>
      <c r="BO45" t="s">
        <v>736</v>
      </c>
      <c r="BP45" t="s">
        <v>1027</v>
      </c>
      <c r="BQ45" t="s">
        <v>1058</v>
      </c>
      <c r="BR45" t="s">
        <v>736</v>
      </c>
      <c r="BS45" t="s">
        <v>736</v>
      </c>
      <c r="BT45" t="s">
        <v>575</v>
      </c>
      <c r="BV45" s="33"/>
    </row>
    <row r="46" spans="1:74" s="3" customFormat="1">
      <c r="A46" s="3" t="s">
        <v>149</v>
      </c>
      <c r="B46" s="3" t="s">
        <v>150</v>
      </c>
      <c r="C46" s="3">
        <v>2025</v>
      </c>
      <c r="D46" s="3" t="s">
        <v>151</v>
      </c>
      <c r="E46" s="3" t="s">
        <v>152</v>
      </c>
      <c r="F46" s="3">
        <v>37</v>
      </c>
      <c r="G46" s="3" t="s">
        <v>331</v>
      </c>
      <c r="H46" t="s">
        <v>736</v>
      </c>
      <c r="I46" s="3" t="s">
        <v>576</v>
      </c>
      <c r="J46" s="3" t="s">
        <v>792</v>
      </c>
      <c r="K46" t="s">
        <v>736</v>
      </c>
      <c r="L46" t="s">
        <v>736</v>
      </c>
      <c r="M46" t="s">
        <v>736</v>
      </c>
      <c r="N46" t="s">
        <v>736</v>
      </c>
      <c r="O46" s="3" t="s">
        <v>579</v>
      </c>
      <c r="P46" t="s">
        <v>736</v>
      </c>
      <c r="Q46" s="3" t="s">
        <v>290</v>
      </c>
      <c r="R46" s="3">
        <v>30</v>
      </c>
      <c r="S46" s="3" t="s">
        <v>578</v>
      </c>
      <c r="T46" t="s">
        <v>878</v>
      </c>
      <c r="U46" s="3" t="s">
        <v>272</v>
      </c>
      <c r="V46" s="3" t="s">
        <v>938</v>
      </c>
      <c r="W46" s="3" t="s">
        <v>220</v>
      </c>
      <c r="X46" s="3">
        <v>2000</v>
      </c>
      <c r="Y46" s="3">
        <v>3.1</v>
      </c>
      <c r="Z46" s="3">
        <v>240</v>
      </c>
      <c r="AA46" s="3">
        <f t="shared" si="1"/>
        <v>8</v>
      </c>
      <c r="AB46" s="3" t="s">
        <v>341</v>
      </c>
      <c r="AC46" s="3">
        <v>3</v>
      </c>
      <c r="AD46" t="s">
        <v>736</v>
      </c>
      <c r="AE46" t="s">
        <v>985</v>
      </c>
      <c r="AF46" s="3" t="s">
        <v>269</v>
      </c>
      <c r="AG46" s="3" t="s">
        <v>266</v>
      </c>
      <c r="AH46" t="s">
        <v>736</v>
      </c>
      <c r="AI46" s="3" t="s">
        <v>294</v>
      </c>
      <c r="AJ46" t="s">
        <v>1073</v>
      </c>
      <c r="AK46">
        <v>8</v>
      </c>
      <c r="AL46" t="s">
        <v>1094</v>
      </c>
      <c r="AM46" s="3" t="s">
        <v>516</v>
      </c>
      <c r="AN46" t="s">
        <v>736</v>
      </c>
      <c r="AO46" s="3">
        <v>30</v>
      </c>
      <c r="AP46" s="3">
        <v>2</v>
      </c>
      <c r="AQ46" s="3">
        <v>220</v>
      </c>
      <c r="AR46" s="3">
        <v>4</v>
      </c>
      <c r="AS46" s="3" t="s">
        <v>389</v>
      </c>
      <c r="AT46" s="3" t="s">
        <v>997</v>
      </c>
      <c r="AU46" s="3" t="s">
        <v>582</v>
      </c>
      <c r="AV46" t="s">
        <v>736</v>
      </c>
      <c r="AW46" s="3" t="s">
        <v>285</v>
      </c>
      <c r="AX46" t="s">
        <v>736</v>
      </c>
      <c r="AY46" s="3" t="s">
        <v>583</v>
      </c>
      <c r="AZ46" t="s">
        <v>736</v>
      </c>
      <c r="BA46" s="3" t="s">
        <v>584</v>
      </c>
      <c r="BB46" s="3" t="s">
        <v>585</v>
      </c>
      <c r="BC46" s="3" t="s">
        <v>586</v>
      </c>
      <c r="BD46" s="3" t="s">
        <v>587</v>
      </c>
      <c r="BE46" s="3" t="s">
        <v>588</v>
      </c>
      <c r="BF46" s="3" t="s">
        <v>592</v>
      </c>
      <c r="BG46" s="3" t="s">
        <v>589</v>
      </c>
      <c r="BH46" s="3" t="s">
        <v>590</v>
      </c>
      <c r="BI46" t="s">
        <v>736</v>
      </c>
      <c r="BJ46" t="s">
        <v>736</v>
      </c>
      <c r="BK46" t="s">
        <v>736</v>
      </c>
      <c r="BL46" t="s">
        <v>736</v>
      </c>
      <c r="BM46" t="s">
        <v>736</v>
      </c>
      <c r="BN46" t="s">
        <v>736</v>
      </c>
      <c r="BO46" t="s">
        <v>736</v>
      </c>
      <c r="BP46" t="s">
        <v>1028</v>
      </c>
      <c r="BQ46" t="s">
        <v>1059</v>
      </c>
      <c r="BR46" s="4" t="s">
        <v>593</v>
      </c>
      <c r="BS46" t="s">
        <v>736</v>
      </c>
      <c r="BV46" s="33"/>
    </row>
    <row r="47" spans="1:74" s="3" customFormat="1">
      <c r="A47" s="3" t="s">
        <v>149</v>
      </c>
      <c r="B47" s="3" t="s">
        <v>150</v>
      </c>
      <c r="C47" s="3">
        <v>2025</v>
      </c>
      <c r="D47" s="3" t="s">
        <v>151</v>
      </c>
      <c r="E47" s="3" t="s">
        <v>152</v>
      </c>
      <c r="F47" s="3">
        <v>33</v>
      </c>
      <c r="G47" s="3" t="s">
        <v>331</v>
      </c>
      <c r="H47" t="s">
        <v>736</v>
      </c>
      <c r="I47" s="3" t="s">
        <v>577</v>
      </c>
      <c r="J47" s="3" t="s">
        <v>793</v>
      </c>
      <c r="K47" t="s">
        <v>736</v>
      </c>
      <c r="L47" t="s">
        <v>736</v>
      </c>
      <c r="M47" t="s">
        <v>736</v>
      </c>
      <c r="N47" t="s">
        <v>736</v>
      </c>
      <c r="O47" s="3" t="s">
        <v>580</v>
      </c>
      <c r="P47" t="s">
        <v>736</v>
      </c>
      <c r="Q47" s="3" t="s">
        <v>290</v>
      </c>
      <c r="R47" t="s">
        <v>736</v>
      </c>
      <c r="S47" t="s">
        <v>736</v>
      </c>
      <c r="T47" t="s">
        <v>909</v>
      </c>
      <c r="U47" t="s">
        <v>736</v>
      </c>
      <c r="V47" t="s">
        <v>736</v>
      </c>
      <c r="W47" t="s">
        <v>736</v>
      </c>
      <c r="X47" t="s">
        <v>736</v>
      </c>
      <c r="Y47" t="s">
        <v>736</v>
      </c>
      <c r="Z47" t="s">
        <v>736</v>
      </c>
      <c r="AA47" t="s">
        <v>736</v>
      </c>
      <c r="AB47" t="s">
        <v>736</v>
      </c>
      <c r="AC47" t="s">
        <v>736</v>
      </c>
      <c r="AD47" t="s">
        <v>736</v>
      </c>
      <c r="AE47" t="s">
        <v>736</v>
      </c>
      <c r="AF47" t="s">
        <v>736</v>
      </c>
      <c r="AG47" t="s">
        <v>736</v>
      </c>
      <c r="AH47" t="s">
        <v>736</v>
      </c>
      <c r="AL47" t="s">
        <v>736</v>
      </c>
      <c r="AM47" t="s">
        <v>736</v>
      </c>
      <c r="AN47" t="s">
        <v>736</v>
      </c>
      <c r="AO47" t="s">
        <v>736</v>
      </c>
      <c r="AP47" t="s">
        <v>736</v>
      </c>
      <c r="AQ47" t="s">
        <v>736</v>
      </c>
      <c r="AR47" t="s">
        <v>736</v>
      </c>
      <c r="AS47" t="s">
        <v>736</v>
      </c>
      <c r="AT47" t="s">
        <v>736</v>
      </c>
      <c r="AV47" t="s">
        <v>736</v>
      </c>
      <c r="AW47" t="s">
        <v>736</v>
      </c>
      <c r="AX47" t="s">
        <v>736</v>
      </c>
      <c r="AY47" t="s">
        <v>736</v>
      </c>
      <c r="AZ47" t="s">
        <v>736</v>
      </c>
      <c r="BA47" t="s">
        <v>736</v>
      </c>
      <c r="BB47" t="s">
        <v>736</v>
      </c>
      <c r="BC47" t="s">
        <v>736</v>
      </c>
      <c r="BD47" t="s">
        <v>736</v>
      </c>
      <c r="BE47" t="s">
        <v>736</v>
      </c>
      <c r="BF47" t="s">
        <v>736</v>
      </c>
      <c r="BG47" t="s">
        <v>736</v>
      </c>
      <c r="BH47" t="s">
        <v>736</v>
      </c>
      <c r="BI47" t="s">
        <v>736</v>
      </c>
      <c r="BJ47" t="s">
        <v>736</v>
      </c>
      <c r="BK47" t="s">
        <v>736</v>
      </c>
      <c r="BL47" t="s">
        <v>736</v>
      </c>
      <c r="BM47" t="s">
        <v>736</v>
      </c>
      <c r="BN47" t="s">
        <v>736</v>
      </c>
      <c r="BO47" t="s">
        <v>736</v>
      </c>
      <c r="BP47" t="s">
        <v>736</v>
      </c>
      <c r="BQ47" t="s">
        <v>736</v>
      </c>
      <c r="BR47" t="s">
        <v>736</v>
      </c>
      <c r="BS47" t="s">
        <v>736</v>
      </c>
      <c r="BT47" t="s">
        <v>736</v>
      </c>
      <c r="BU47" t="s">
        <v>736</v>
      </c>
      <c r="BV47" s="33"/>
    </row>
    <row r="48" spans="1:74">
      <c r="A48" t="s">
        <v>153</v>
      </c>
      <c r="B48" t="s">
        <v>154</v>
      </c>
      <c r="C48">
        <v>2015</v>
      </c>
      <c r="D48" t="s">
        <v>155</v>
      </c>
      <c r="E48" t="s">
        <v>156</v>
      </c>
      <c r="F48">
        <v>12</v>
      </c>
      <c r="G48" t="s">
        <v>331</v>
      </c>
      <c r="H48" t="s">
        <v>736</v>
      </c>
      <c r="I48" t="s">
        <v>736</v>
      </c>
      <c r="J48" t="s">
        <v>736</v>
      </c>
      <c r="K48" t="s">
        <v>736</v>
      </c>
      <c r="L48" t="s">
        <v>736</v>
      </c>
      <c r="M48" t="s">
        <v>736</v>
      </c>
      <c r="N48" t="s">
        <v>736</v>
      </c>
      <c r="O48" t="s">
        <v>736</v>
      </c>
      <c r="P48" t="s">
        <v>736</v>
      </c>
      <c r="Q48" t="s">
        <v>736</v>
      </c>
      <c r="R48">
        <v>10</v>
      </c>
      <c r="S48" t="s">
        <v>736</v>
      </c>
      <c r="T48" t="s">
        <v>736</v>
      </c>
      <c r="U48" t="s">
        <v>272</v>
      </c>
      <c r="V48" t="s">
        <v>939</v>
      </c>
      <c r="W48" t="s">
        <v>220</v>
      </c>
      <c r="X48">
        <v>1985</v>
      </c>
      <c r="Y48">
        <v>37</v>
      </c>
      <c r="AA48">
        <v>4</v>
      </c>
      <c r="AC48">
        <v>3</v>
      </c>
      <c r="AD48" t="s">
        <v>736</v>
      </c>
      <c r="AE48" t="s">
        <v>736</v>
      </c>
      <c r="AF48" t="s">
        <v>736</v>
      </c>
      <c r="AG48" t="s">
        <v>736</v>
      </c>
      <c r="AH48" t="s">
        <v>736</v>
      </c>
      <c r="AI48" t="s">
        <v>594</v>
      </c>
      <c r="AJ48" t="s">
        <v>992</v>
      </c>
      <c r="AK48" t="s">
        <v>910</v>
      </c>
      <c r="AL48" t="s">
        <v>910</v>
      </c>
      <c r="AM48" t="s">
        <v>596</v>
      </c>
      <c r="AN48" t="s">
        <v>736</v>
      </c>
      <c r="AO48">
        <v>32</v>
      </c>
      <c r="AP48" t="s">
        <v>736</v>
      </c>
      <c r="AQ48" t="s">
        <v>736</v>
      </c>
      <c r="AR48" t="s">
        <v>597</v>
      </c>
      <c r="AS48" t="s">
        <v>736</v>
      </c>
      <c r="AT48" t="s">
        <v>1000</v>
      </c>
      <c r="AU48" t="s">
        <v>736</v>
      </c>
      <c r="AV48" t="s">
        <v>736</v>
      </c>
      <c r="AW48" t="s">
        <v>736</v>
      </c>
      <c r="AX48" t="s">
        <v>736</v>
      </c>
      <c r="AY48" t="s">
        <v>598</v>
      </c>
      <c r="AZ48" t="s">
        <v>736</v>
      </c>
      <c r="BA48" t="s">
        <v>599</v>
      </c>
      <c r="BB48" t="s">
        <v>600</v>
      </c>
      <c r="BC48" t="s">
        <v>601</v>
      </c>
      <c r="BD48" t="s">
        <v>736</v>
      </c>
      <c r="BE48" t="s">
        <v>736</v>
      </c>
      <c r="BF48" t="s">
        <v>736</v>
      </c>
      <c r="BG48" t="s">
        <v>736</v>
      </c>
      <c r="BH48" t="s">
        <v>736</v>
      </c>
      <c r="BI48" t="s">
        <v>736</v>
      </c>
      <c r="BJ48" t="s">
        <v>736</v>
      </c>
      <c r="BK48" t="s">
        <v>736</v>
      </c>
      <c r="BL48" t="s">
        <v>736</v>
      </c>
      <c r="BM48" t="s">
        <v>736</v>
      </c>
      <c r="BN48" t="s">
        <v>736</v>
      </c>
      <c r="BO48" t="s">
        <v>736</v>
      </c>
      <c r="BP48" t="s">
        <v>736</v>
      </c>
      <c r="BQ48" t="s">
        <v>1060</v>
      </c>
      <c r="BR48" s="2" t="s">
        <v>602</v>
      </c>
      <c r="BS48" t="s">
        <v>736</v>
      </c>
      <c r="BT48" t="s">
        <v>603</v>
      </c>
      <c r="BU48" t="s">
        <v>595</v>
      </c>
      <c r="BV48" s="33"/>
    </row>
    <row r="49" spans="1:74" s="3" customFormat="1">
      <c r="A49" s="3" t="s">
        <v>157</v>
      </c>
      <c r="B49" s="3" t="s">
        <v>158</v>
      </c>
      <c r="C49" s="3">
        <v>2019</v>
      </c>
      <c r="D49" s="3" t="s">
        <v>159</v>
      </c>
      <c r="E49" s="3" t="s">
        <v>160</v>
      </c>
      <c r="F49" s="3">
        <v>42</v>
      </c>
      <c r="G49" s="3" t="s">
        <v>331</v>
      </c>
      <c r="H49" t="s">
        <v>736</v>
      </c>
      <c r="I49" s="3" t="s">
        <v>821</v>
      </c>
      <c r="J49" s="3" t="s">
        <v>794</v>
      </c>
      <c r="K49" t="s">
        <v>736</v>
      </c>
      <c r="L49" t="s">
        <v>736</v>
      </c>
      <c r="M49" t="s">
        <v>736</v>
      </c>
      <c r="N49" t="s">
        <v>856</v>
      </c>
      <c r="O49" t="s">
        <v>736</v>
      </c>
      <c r="P49" t="s">
        <v>736</v>
      </c>
      <c r="Q49" s="3" t="s">
        <v>290</v>
      </c>
      <c r="R49" s="3">
        <v>40</v>
      </c>
      <c r="S49" s="3" t="s">
        <v>867</v>
      </c>
      <c r="T49" t="s">
        <v>736</v>
      </c>
      <c r="U49" s="3" t="s">
        <v>272</v>
      </c>
      <c r="V49" s="3" t="s">
        <v>940</v>
      </c>
      <c r="W49" s="3" t="s">
        <v>220</v>
      </c>
      <c r="X49" s="3">
        <v>2000</v>
      </c>
      <c r="Y49" s="3">
        <v>30</v>
      </c>
      <c r="Z49" s="3">
        <v>210</v>
      </c>
      <c r="AA49" s="3">
        <f>X49*Z49/60000</f>
        <v>7</v>
      </c>
      <c r="AB49" s="3" t="s">
        <v>604</v>
      </c>
      <c r="AC49" s="3">
        <v>3</v>
      </c>
      <c r="AD49" s="3" t="s">
        <v>267</v>
      </c>
      <c r="AE49" t="s">
        <v>986</v>
      </c>
      <c r="AF49" s="3" t="s">
        <v>269</v>
      </c>
      <c r="AG49" s="3" t="s">
        <v>266</v>
      </c>
      <c r="AH49" s="3" t="s">
        <v>427</v>
      </c>
      <c r="AI49" s="3" t="s">
        <v>243</v>
      </c>
      <c r="AJ49" t="s">
        <v>1073</v>
      </c>
      <c r="AK49">
        <v>13</v>
      </c>
      <c r="AL49" t="s">
        <v>1095</v>
      </c>
      <c r="AM49" s="3" t="s">
        <v>605</v>
      </c>
      <c r="AN49" t="s">
        <v>736</v>
      </c>
      <c r="AO49" s="3">
        <v>40</v>
      </c>
      <c r="AP49" s="3">
        <v>40</v>
      </c>
      <c r="AQ49" t="s">
        <v>736</v>
      </c>
      <c r="AR49" t="s">
        <v>736</v>
      </c>
      <c r="AS49" t="s">
        <v>736</v>
      </c>
      <c r="AT49" s="3" t="s">
        <v>1001</v>
      </c>
      <c r="AU49" t="s">
        <v>736</v>
      </c>
      <c r="AV49" t="s">
        <v>736</v>
      </c>
      <c r="AW49" s="3" t="s">
        <v>285</v>
      </c>
      <c r="AX49" t="s">
        <v>736</v>
      </c>
      <c r="AY49" t="s">
        <v>736</v>
      </c>
      <c r="AZ49" t="s">
        <v>736</v>
      </c>
      <c r="BA49" s="3" t="s">
        <v>608</v>
      </c>
      <c r="BB49" s="3" t="s">
        <v>609</v>
      </c>
      <c r="BC49" s="3" t="s">
        <v>611</v>
      </c>
      <c r="BD49" s="3" t="s">
        <v>612</v>
      </c>
      <c r="BF49" t="s">
        <v>736</v>
      </c>
      <c r="BG49" s="3" t="s">
        <v>610</v>
      </c>
      <c r="BH49" s="3" t="s">
        <v>613</v>
      </c>
      <c r="BI49" s="3" t="s">
        <v>614</v>
      </c>
      <c r="BJ49" t="s">
        <v>736</v>
      </c>
      <c r="BK49" t="s">
        <v>736</v>
      </c>
      <c r="BL49" t="s">
        <v>736</v>
      </c>
      <c r="BM49" t="s">
        <v>736</v>
      </c>
      <c r="BN49" t="s">
        <v>736</v>
      </c>
      <c r="BO49" t="s">
        <v>736</v>
      </c>
      <c r="BP49" t="s">
        <v>1029</v>
      </c>
      <c r="BQ49" t="s">
        <v>1061</v>
      </c>
      <c r="BS49" t="s">
        <v>736</v>
      </c>
      <c r="BT49" s="3" t="s">
        <v>615</v>
      </c>
      <c r="BU49" s="3" t="s">
        <v>607</v>
      </c>
      <c r="BV49" s="33"/>
    </row>
    <row r="50" spans="1:74" s="7" customFormat="1">
      <c r="A50" s="7" t="s">
        <v>161</v>
      </c>
      <c r="B50" s="7" t="s">
        <v>162</v>
      </c>
      <c r="C50" s="7">
        <v>2022</v>
      </c>
      <c r="D50" s="7" t="s">
        <v>163</v>
      </c>
      <c r="E50" s="7" t="s">
        <v>164</v>
      </c>
      <c r="BU50" s="7" t="s">
        <v>616</v>
      </c>
      <c r="BV50" s="33"/>
    </row>
    <row r="51" spans="1:74" s="7" customFormat="1">
      <c r="A51" s="7" t="s">
        <v>165</v>
      </c>
      <c r="B51" s="7" t="s">
        <v>166</v>
      </c>
      <c r="C51" s="7">
        <v>2024</v>
      </c>
      <c r="D51" s="7" t="s">
        <v>143</v>
      </c>
      <c r="E51" s="7" t="s">
        <v>167</v>
      </c>
      <c r="BU51" s="7" t="s">
        <v>617</v>
      </c>
      <c r="BV51" s="33"/>
    </row>
    <row r="52" spans="1:74" s="7" customFormat="1">
      <c r="A52" s="7" t="s">
        <v>168</v>
      </c>
      <c r="B52" s="7" t="s">
        <v>169</v>
      </c>
      <c r="C52" s="7">
        <v>2020</v>
      </c>
      <c r="D52" s="7" t="s">
        <v>170</v>
      </c>
      <c r="E52" s="7" t="s">
        <v>171</v>
      </c>
      <c r="BU52" s="7" t="s">
        <v>619</v>
      </c>
      <c r="BV52" s="33"/>
    </row>
    <row r="53" spans="1:74" s="7" customFormat="1">
      <c r="A53" s="7" t="s">
        <v>172</v>
      </c>
      <c r="B53" s="7" t="s">
        <v>173</v>
      </c>
      <c r="C53" s="7">
        <v>2023</v>
      </c>
      <c r="D53" s="7" t="s">
        <v>174</v>
      </c>
      <c r="E53" s="7" t="s">
        <v>175</v>
      </c>
      <c r="BU53" s="7" t="s">
        <v>620</v>
      </c>
      <c r="BV53" s="33"/>
    </row>
    <row r="54" spans="1:74" s="7" customFormat="1">
      <c r="A54" s="7" t="s">
        <v>176</v>
      </c>
      <c r="B54" s="7" t="s">
        <v>177</v>
      </c>
      <c r="C54" s="7">
        <v>2011</v>
      </c>
      <c r="D54" s="7" t="s">
        <v>178</v>
      </c>
      <c r="E54" s="7" t="s">
        <v>179</v>
      </c>
      <c r="BU54" s="7" t="s">
        <v>621</v>
      </c>
      <c r="BV54" s="33"/>
    </row>
    <row r="55" spans="1:74" s="3" customFormat="1">
      <c r="A55" s="3" t="s">
        <v>180</v>
      </c>
      <c r="B55" s="3" t="s">
        <v>181</v>
      </c>
      <c r="C55" s="3">
        <v>2025</v>
      </c>
      <c r="D55" s="3" t="s">
        <v>73</v>
      </c>
      <c r="E55" s="3" t="s">
        <v>182</v>
      </c>
      <c r="F55" s="3">
        <v>30</v>
      </c>
      <c r="G55" s="3" t="s">
        <v>331</v>
      </c>
      <c r="H55" t="s">
        <v>736</v>
      </c>
      <c r="I55" s="3" t="s">
        <v>623</v>
      </c>
      <c r="J55" t="s">
        <v>736</v>
      </c>
      <c r="K55" t="s">
        <v>736</v>
      </c>
      <c r="L55" s="3" t="s">
        <v>795</v>
      </c>
      <c r="M55" t="s">
        <v>736</v>
      </c>
      <c r="N55" s="3" t="s">
        <v>626</v>
      </c>
      <c r="O55" t="s">
        <v>736</v>
      </c>
      <c r="P55" t="s">
        <v>736</v>
      </c>
      <c r="Q55" s="3" t="s">
        <v>289</v>
      </c>
      <c r="R55" s="3">
        <v>37</v>
      </c>
      <c r="S55" s="3" t="s">
        <v>625</v>
      </c>
      <c r="T55" t="s">
        <v>911</v>
      </c>
      <c r="U55" s="3" t="s">
        <v>272</v>
      </c>
      <c r="V55" s="3" t="s">
        <v>941</v>
      </c>
      <c r="W55" s="3" t="s">
        <v>220</v>
      </c>
      <c r="X55" s="3">
        <v>1500</v>
      </c>
      <c r="Y55" s="3">
        <v>31</v>
      </c>
      <c r="Z55" s="3">
        <v>300</v>
      </c>
      <c r="AA55" s="3">
        <f t="shared" ref="AA55:AA68" si="2">X55*Z55/60000</f>
        <v>7.5</v>
      </c>
      <c r="AB55" s="3" t="s">
        <v>628</v>
      </c>
      <c r="AC55" s="3">
        <v>3</v>
      </c>
      <c r="AD55" t="s">
        <v>966</v>
      </c>
      <c r="AE55" t="s">
        <v>987</v>
      </c>
      <c r="AF55" s="3" t="s">
        <v>269</v>
      </c>
      <c r="AG55" s="3" t="s">
        <v>266</v>
      </c>
      <c r="AH55" s="3" t="s">
        <v>517</v>
      </c>
      <c r="AI55" s="3" t="s">
        <v>294</v>
      </c>
      <c r="AJ55" t="s">
        <v>1073</v>
      </c>
      <c r="AK55">
        <v>7</v>
      </c>
      <c r="AL55" t="s">
        <v>1096</v>
      </c>
      <c r="AM55" s="3" t="s">
        <v>629</v>
      </c>
      <c r="AN55" t="s">
        <v>736</v>
      </c>
      <c r="AO55" s="3">
        <v>45</v>
      </c>
      <c r="AP55" s="3">
        <v>1.5</v>
      </c>
      <c r="AQ55" t="s">
        <v>736</v>
      </c>
      <c r="AR55" t="s">
        <v>736</v>
      </c>
      <c r="AS55" s="3" t="s">
        <v>630</v>
      </c>
      <c r="AT55" s="3" t="s">
        <v>997</v>
      </c>
      <c r="AU55" t="s">
        <v>736</v>
      </c>
      <c r="AV55" t="s">
        <v>736</v>
      </c>
      <c r="AW55" s="3" t="s">
        <v>285</v>
      </c>
      <c r="AX55" t="s">
        <v>736</v>
      </c>
      <c r="AY55" s="3" t="s">
        <v>631</v>
      </c>
      <c r="AZ55" t="s">
        <v>736</v>
      </c>
      <c r="BA55" s="3" t="s">
        <v>632</v>
      </c>
      <c r="BB55" s="3" t="s">
        <v>633</v>
      </c>
      <c r="BC55" s="3" t="s">
        <v>634</v>
      </c>
      <c r="BD55" s="3" t="s">
        <v>637</v>
      </c>
      <c r="BE55" t="s">
        <v>736</v>
      </c>
      <c r="BF55" t="s">
        <v>736</v>
      </c>
      <c r="BG55" t="s">
        <v>736</v>
      </c>
      <c r="BH55" t="s">
        <v>736</v>
      </c>
      <c r="BI55" t="s">
        <v>736</v>
      </c>
      <c r="BJ55" t="s">
        <v>736</v>
      </c>
      <c r="BK55" t="s">
        <v>736</v>
      </c>
      <c r="BL55" s="3" t="s">
        <v>635</v>
      </c>
      <c r="BM55" t="s">
        <v>736</v>
      </c>
      <c r="BN55" t="s">
        <v>736</v>
      </c>
      <c r="BO55" t="s">
        <v>736</v>
      </c>
      <c r="BP55" t="s">
        <v>1030</v>
      </c>
      <c r="BQ55" t="s">
        <v>1062</v>
      </c>
      <c r="BR55" s="4" t="s">
        <v>636</v>
      </c>
      <c r="BS55" t="s">
        <v>736</v>
      </c>
      <c r="BT55" t="s">
        <v>736</v>
      </c>
      <c r="BU55" t="s">
        <v>736</v>
      </c>
      <c r="BV55" s="33"/>
    </row>
    <row r="56" spans="1:74" s="3" customFormat="1">
      <c r="A56" s="3" t="s">
        <v>180</v>
      </c>
      <c r="B56" s="3" t="s">
        <v>181</v>
      </c>
      <c r="C56" s="3">
        <v>2025</v>
      </c>
      <c r="D56" s="3" t="s">
        <v>73</v>
      </c>
      <c r="E56" s="3" t="s">
        <v>182</v>
      </c>
      <c r="F56" s="3">
        <v>37</v>
      </c>
      <c r="G56" s="3" t="s">
        <v>331</v>
      </c>
      <c r="H56" t="s">
        <v>736</v>
      </c>
      <c r="I56" s="3" t="s">
        <v>624</v>
      </c>
      <c r="J56" t="s">
        <v>736</v>
      </c>
      <c r="K56" t="s">
        <v>736</v>
      </c>
      <c r="L56" s="3" t="s">
        <v>796</v>
      </c>
      <c r="M56" t="s">
        <v>736</v>
      </c>
      <c r="N56" s="3" t="s">
        <v>627</v>
      </c>
      <c r="O56" t="s">
        <v>736</v>
      </c>
      <c r="P56" t="s">
        <v>736</v>
      </c>
      <c r="Q56" s="3" t="s">
        <v>289</v>
      </c>
      <c r="R56" t="s">
        <v>736</v>
      </c>
      <c r="S56" t="s">
        <v>736</v>
      </c>
      <c r="T56" t="s">
        <v>912</v>
      </c>
      <c r="U56" t="s">
        <v>736</v>
      </c>
      <c r="V56" t="s">
        <v>736</v>
      </c>
      <c r="W56" t="s">
        <v>736</v>
      </c>
      <c r="X56" t="s">
        <v>736</v>
      </c>
      <c r="Y56" t="s">
        <v>736</v>
      </c>
      <c r="Z56" t="s">
        <v>736</v>
      </c>
      <c r="AA56" t="s">
        <v>736</v>
      </c>
      <c r="AB56" t="s">
        <v>736</v>
      </c>
      <c r="AC56" t="s">
        <v>736</v>
      </c>
      <c r="AD56" t="s">
        <v>736</v>
      </c>
      <c r="AE56" t="s">
        <v>736</v>
      </c>
      <c r="AF56" t="s">
        <v>736</v>
      </c>
      <c r="AG56" t="s">
        <v>736</v>
      </c>
      <c r="AH56" t="s">
        <v>736</v>
      </c>
      <c r="AI56" t="s">
        <v>736</v>
      </c>
      <c r="AJ56" t="s">
        <v>736</v>
      </c>
      <c r="AK56" t="s">
        <v>736</v>
      </c>
      <c r="AL56" t="s">
        <v>736</v>
      </c>
      <c r="AM56" t="s">
        <v>736</v>
      </c>
      <c r="AN56" t="s">
        <v>736</v>
      </c>
      <c r="AO56" t="s">
        <v>736</v>
      </c>
      <c r="AP56" t="s">
        <v>736</v>
      </c>
      <c r="AQ56" t="s">
        <v>736</v>
      </c>
      <c r="AR56" t="s">
        <v>736</v>
      </c>
      <c r="AS56" t="s">
        <v>736</v>
      </c>
      <c r="AT56" t="s">
        <v>736</v>
      </c>
      <c r="AU56" t="s">
        <v>736</v>
      </c>
      <c r="AV56" t="s">
        <v>736</v>
      </c>
      <c r="AW56" t="s">
        <v>736</v>
      </c>
      <c r="AX56" t="s">
        <v>736</v>
      </c>
      <c r="AY56" t="s">
        <v>736</v>
      </c>
      <c r="AZ56" t="s">
        <v>736</v>
      </c>
      <c r="BA56" t="s">
        <v>736</v>
      </c>
      <c r="BB56" t="s">
        <v>736</v>
      </c>
      <c r="BC56" t="s">
        <v>736</v>
      </c>
      <c r="BD56" t="s">
        <v>736</v>
      </c>
      <c r="BE56" t="s">
        <v>736</v>
      </c>
      <c r="BF56" t="s">
        <v>736</v>
      </c>
      <c r="BG56" t="s">
        <v>736</v>
      </c>
      <c r="BH56" t="s">
        <v>736</v>
      </c>
      <c r="BI56" t="s">
        <v>736</v>
      </c>
      <c r="BJ56" t="s">
        <v>736</v>
      </c>
      <c r="BK56" t="s">
        <v>736</v>
      </c>
      <c r="BL56" t="s">
        <v>736</v>
      </c>
      <c r="BM56" t="s">
        <v>736</v>
      </c>
      <c r="BN56" t="s">
        <v>736</v>
      </c>
      <c r="BO56" t="s">
        <v>736</v>
      </c>
      <c r="BP56" t="s">
        <v>736</v>
      </c>
      <c r="BQ56" t="s">
        <v>736</v>
      </c>
      <c r="BR56" t="s">
        <v>736</v>
      </c>
      <c r="BS56" t="s">
        <v>736</v>
      </c>
      <c r="BT56" t="s">
        <v>736</v>
      </c>
      <c r="BU56" t="s">
        <v>736</v>
      </c>
      <c r="BV56" s="33"/>
    </row>
    <row r="57" spans="1:74">
      <c r="A57" t="s">
        <v>183</v>
      </c>
      <c r="B57" t="s">
        <v>184</v>
      </c>
      <c r="C57">
        <v>2020</v>
      </c>
      <c r="D57" t="s">
        <v>125</v>
      </c>
      <c r="E57" t="s">
        <v>185</v>
      </c>
      <c r="F57">
        <v>50</v>
      </c>
      <c r="G57" t="s">
        <v>331</v>
      </c>
      <c r="H57" t="s">
        <v>827</v>
      </c>
      <c r="I57" t="s">
        <v>829</v>
      </c>
      <c r="J57" t="s">
        <v>797</v>
      </c>
      <c r="K57" t="s">
        <v>736</v>
      </c>
      <c r="L57" t="s">
        <v>736</v>
      </c>
      <c r="M57" t="s">
        <v>736</v>
      </c>
      <c r="N57" t="s">
        <v>736</v>
      </c>
      <c r="O57" t="s">
        <v>736</v>
      </c>
      <c r="P57" t="s">
        <v>736</v>
      </c>
      <c r="Q57" t="s">
        <v>290</v>
      </c>
      <c r="R57">
        <v>13</v>
      </c>
      <c r="S57" t="s">
        <v>868</v>
      </c>
      <c r="T57" t="s">
        <v>913</v>
      </c>
      <c r="U57" t="s">
        <v>272</v>
      </c>
      <c r="V57" t="s">
        <v>942</v>
      </c>
      <c r="W57" t="s">
        <v>220</v>
      </c>
      <c r="X57">
        <v>1800</v>
      </c>
      <c r="Y57">
        <v>35</v>
      </c>
      <c r="Z57">
        <v>202</v>
      </c>
      <c r="AA57" s="3">
        <f t="shared" si="2"/>
        <v>6.06</v>
      </c>
      <c r="AB57" t="s">
        <v>639</v>
      </c>
      <c r="AC57">
        <v>3</v>
      </c>
      <c r="AD57" t="s">
        <v>640</v>
      </c>
      <c r="AE57" t="s">
        <v>988</v>
      </c>
      <c r="AF57" t="s">
        <v>269</v>
      </c>
      <c r="AG57" t="s">
        <v>736</v>
      </c>
      <c r="AH57" t="s">
        <v>736</v>
      </c>
      <c r="AI57" t="s">
        <v>243</v>
      </c>
      <c r="AJ57" t="s">
        <v>1073</v>
      </c>
      <c r="AK57">
        <v>7</v>
      </c>
      <c r="AL57" t="s">
        <v>1097</v>
      </c>
      <c r="AM57" t="s">
        <v>641</v>
      </c>
      <c r="AN57" t="s">
        <v>736</v>
      </c>
      <c r="AO57">
        <v>48.6</v>
      </c>
      <c r="AP57">
        <v>10</v>
      </c>
      <c r="AQ57">
        <v>34</v>
      </c>
      <c r="AR57" t="s">
        <v>324</v>
      </c>
      <c r="AS57" t="s">
        <v>736</v>
      </c>
      <c r="AT57" t="s">
        <v>1002</v>
      </c>
      <c r="AU57" t="s">
        <v>736</v>
      </c>
      <c r="AV57" t="s">
        <v>736</v>
      </c>
      <c r="AW57" t="s">
        <v>736</v>
      </c>
      <c r="AX57" t="s">
        <v>736</v>
      </c>
      <c r="AY57" t="s">
        <v>736</v>
      </c>
      <c r="AZ57" t="s">
        <v>644</v>
      </c>
      <c r="BE57" t="s">
        <v>736</v>
      </c>
      <c r="BF57" t="s">
        <v>736</v>
      </c>
      <c r="BG57" t="s">
        <v>736</v>
      </c>
      <c r="BH57" t="s">
        <v>736</v>
      </c>
      <c r="BI57" t="s">
        <v>736</v>
      </c>
      <c r="BJ57" t="s">
        <v>736</v>
      </c>
      <c r="BK57" t="s">
        <v>736</v>
      </c>
      <c r="BL57" t="s">
        <v>642</v>
      </c>
      <c r="BM57" t="s">
        <v>736</v>
      </c>
      <c r="BN57" t="s">
        <v>736</v>
      </c>
      <c r="BO57" t="s">
        <v>736</v>
      </c>
      <c r="BP57" t="s">
        <v>1031</v>
      </c>
      <c r="BQ57" t="s">
        <v>1063</v>
      </c>
      <c r="BT57" t="s">
        <v>643</v>
      </c>
      <c r="BV57" s="33"/>
    </row>
    <row r="58" spans="1:74">
      <c r="A58" t="s">
        <v>183</v>
      </c>
      <c r="B58" t="s">
        <v>184</v>
      </c>
      <c r="C58">
        <v>2020</v>
      </c>
      <c r="D58" t="s">
        <v>125</v>
      </c>
      <c r="E58" t="s">
        <v>185</v>
      </c>
      <c r="F58">
        <v>31</v>
      </c>
      <c r="G58" t="s">
        <v>527</v>
      </c>
      <c r="H58" t="s">
        <v>828</v>
      </c>
      <c r="I58" t="s">
        <v>830</v>
      </c>
      <c r="J58" t="s">
        <v>638</v>
      </c>
      <c r="K58" t="s">
        <v>736</v>
      </c>
      <c r="L58" t="s">
        <v>736</v>
      </c>
      <c r="M58" t="s">
        <v>736</v>
      </c>
      <c r="N58" t="s">
        <v>736</v>
      </c>
      <c r="O58" t="s">
        <v>736</v>
      </c>
      <c r="P58" t="s">
        <v>736</v>
      </c>
      <c r="Q58" t="s">
        <v>290</v>
      </c>
      <c r="R58">
        <v>13</v>
      </c>
      <c r="S58" t="s">
        <v>736</v>
      </c>
      <c r="U58" t="s">
        <v>736</v>
      </c>
      <c r="V58" t="s">
        <v>736</v>
      </c>
      <c r="W58" t="s">
        <v>736</v>
      </c>
      <c r="X58" t="s">
        <v>736</v>
      </c>
      <c r="Y58" t="s">
        <v>736</v>
      </c>
      <c r="Z58" t="s">
        <v>736</v>
      </c>
      <c r="AA58" t="s">
        <v>736</v>
      </c>
      <c r="AB58" t="s">
        <v>736</v>
      </c>
      <c r="AC58" t="s">
        <v>736</v>
      </c>
      <c r="AD58" t="s">
        <v>736</v>
      </c>
      <c r="AE58" t="s">
        <v>736</v>
      </c>
      <c r="AF58" t="s">
        <v>736</v>
      </c>
      <c r="AG58" t="s">
        <v>736</v>
      </c>
      <c r="AH58" t="s">
        <v>736</v>
      </c>
      <c r="AI58" t="s">
        <v>736</v>
      </c>
      <c r="AJ58" t="s">
        <v>736</v>
      </c>
      <c r="AK58" t="s">
        <v>736</v>
      </c>
      <c r="AL58" t="s">
        <v>736</v>
      </c>
      <c r="AM58" t="s">
        <v>736</v>
      </c>
      <c r="AN58" t="s">
        <v>736</v>
      </c>
      <c r="AO58" t="s">
        <v>736</v>
      </c>
      <c r="AP58" t="s">
        <v>736</v>
      </c>
      <c r="AQ58" t="s">
        <v>736</v>
      </c>
      <c r="AR58" t="s">
        <v>736</v>
      </c>
      <c r="AS58" t="s">
        <v>736</v>
      </c>
      <c r="AT58" t="s">
        <v>736</v>
      </c>
      <c r="AU58" t="s">
        <v>736</v>
      </c>
      <c r="AV58" t="s">
        <v>736</v>
      </c>
      <c r="AW58" t="s">
        <v>736</v>
      </c>
      <c r="AX58" t="s">
        <v>736</v>
      </c>
      <c r="AY58" t="s">
        <v>736</v>
      </c>
      <c r="AZ58" t="s">
        <v>736</v>
      </c>
      <c r="BA58" t="s">
        <v>736</v>
      </c>
      <c r="BB58" t="s">
        <v>736</v>
      </c>
      <c r="BC58" t="s">
        <v>736</v>
      </c>
      <c r="BD58" t="s">
        <v>736</v>
      </c>
      <c r="BE58" t="s">
        <v>736</v>
      </c>
      <c r="BF58" t="s">
        <v>736</v>
      </c>
      <c r="BG58" t="s">
        <v>736</v>
      </c>
      <c r="BH58" t="s">
        <v>736</v>
      </c>
      <c r="BI58" t="s">
        <v>736</v>
      </c>
      <c r="BJ58" t="s">
        <v>736</v>
      </c>
      <c r="BK58" t="s">
        <v>736</v>
      </c>
      <c r="BL58" t="s">
        <v>736</v>
      </c>
      <c r="BM58" t="s">
        <v>736</v>
      </c>
      <c r="BN58" t="s">
        <v>736</v>
      </c>
      <c r="BO58" t="s">
        <v>736</v>
      </c>
      <c r="BP58" t="s">
        <v>736</v>
      </c>
      <c r="BQ58" t="s">
        <v>736</v>
      </c>
      <c r="BR58" t="s">
        <v>736</v>
      </c>
      <c r="BS58" t="s">
        <v>736</v>
      </c>
      <c r="BT58" t="s">
        <v>736</v>
      </c>
      <c r="BU58" t="s">
        <v>736</v>
      </c>
      <c r="BV58" s="33"/>
    </row>
    <row r="59" spans="1:74" s="3" customFormat="1">
      <c r="A59" s="3" t="s">
        <v>186</v>
      </c>
      <c r="B59" s="3" t="s">
        <v>187</v>
      </c>
      <c r="C59" s="3">
        <v>2021</v>
      </c>
      <c r="D59" s="3" t="s">
        <v>188</v>
      </c>
      <c r="E59" s="3" t="s">
        <v>189</v>
      </c>
      <c r="F59" s="3">
        <v>25</v>
      </c>
      <c r="G59" s="3" t="s">
        <v>331</v>
      </c>
      <c r="H59" t="s">
        <v>736</v>
      </c>
      <c r="I59" s="3" t="s">
        <v>645</v>
      </c>
      <c r="J59" t="s">
        <v>736</v>
      </c>
      <c r="K59" t="s">
        <v>736</v>
      </c>
      <c r="L59" s="3" t="s">
        <v>798</v>
      </c>
      <c r="M59" t="s">
        <v>736</v>
      </c>
      <c r="N59" s="3" t="s">
        <v>648</v>
      </c>
      <c r="O59" t="s">
        <v>736</v>
      </c>
      <c r="P59" t="s">
        <v>736</v>
      </c>
      <c r="Q59" s="3" t="s">
        <v>289</v>
      </c>
      <c r="R59" s="3">
        <v>25</v>
      </c>
      <c r="S59" s="3" t="s">
        <v>647</v>
      </c>
      <c r="T59" t="s">
        <v>889</v>
      </c>
      <c r="U59" s="3" t="s">
        <v>272</v>
      </c>
      <c r="V59" s="3" t="s">
        <v>943</v>
      </c>
      <c r="W59" s="3" t="s">
        <v>220</v>
      </c>
      <c r="X59" s="3">
        <v>2000</v>
      </c>
      <c r="Y59" s="3">
        <v>30</v>
      </c>
      <c r="Z59" s="3">
        <v>185</v>
      </c>
      <c r="AA59" s="3">
        <f t="shared" si="2"/>
        <v>6.166666666666667</v>
      </c>
      <c r="AB59" s="3" t="s">
        <v>650</v>
      </c>
      <c r="AC59" s="3">
        <v>3</v>
      </c>
      <c r="AD59" t="s">
        <v>964</v>
      </c>
      <c r="AE59" t="s">
        <v>989</v>
      </c>
      <c r="AF59" s="3" t="s">
        <v>269</v>
      </c>
      <c r="AG59" s="3" t="s">
        <v>266</v>
      </c>
      <c r="AH59" s="3" t="s">
        <v>532</v>
      </c>
      <c r="AI59" t="s">
        <v>736</v>
      </c>
      <c r="AJ59" t="s">
        <v>1072</v>
      </c>
      <c r="AK59">
        <v>15</v>
      </c>
      <c r="AL59" t="s">
        <v>1098</v>
      </c>
      <c r="AM59" s="3" t="s">
        <v>651</v>
      </c>
      <c r="AN59" t="s">
        <v>736</v>
      </c>
      <c r="AO59" s="3">
        <v>60</v>
      </c>
      <c r="AP59" s="3">
        <v>2</v>
      </c>
      <c r="AR59" s="3" t="s">
        <v>324</v>
      </c>
      <c r="AS59" t="s">
        <v>736</v>
      </c>
      <c r="AT59" s="3" t="s">
        <v>652</v>
      </c>
      <c r="AU59" t="s">
        <v>736</v>
      </c>
      <c r="AV59" t="s">
        <v>736</v>
      </c>
      <c r="AW59" s="3" t="s">
        <v>285</v>
      </c>
      <c r="AX59" t="s">
        <v>736</v>
      </c>
      <c r="AY59" t="s">
        <v>736</v>
      </c>
      <c r="AZ59" t="s">
        <v>736</v>
      </c>
      <c r="BA59" s="3" t="s">
        <v>653</v>
      </c>
      <c r="BB59" s="3" t="s">
        <v>654</v>
      </c>
      <c r="BE59" t="s">
        <v>736</v>
      </c>
      <c r="BF59" t="s">
        <v>736</v>
      </c>
      <c r="BG59" s="3" t="s">
        <v>655</v>
      </c>
      <c r="BH59" t="s">
        <v>736</v>
      </c>
      <c r="BI59" t="s">
        <v>736</v>
      </c>
      <c r="BJ59" t="s">
        <v>736</v>
      </c>
      <c r="BK59" t="s">
        <v>736</v>
      </c>
      <c r="BL59" t="s">
        <v>736</v>
      </c>
      <c r="BM59" t="s">
        <v>736</v>
      </c>
      <c r="BN59" t="s">
        <v>736</v>
      </c>
      <c r="BO59" t="s">
        <v>736</v>
      </c>
      <c r="BP59" t="s">
        <v>1032</v>
      </c>
      <c r="BQ59" t="s">
        <v>1064</v>
      </c>
      <c r="BS59" t="s">
        <v>736</v>
      </c>
      <c r="BT59" s="3" t="s">
        <v>657</v>
      </c>
      <c r="BU59" s="3" t="s">
        <v>656</v>
      </c>
      <c r="BV59" s="33"/>
    </row>
    <row r="60" spans="1:74" s="3" customFormat="1">
      <c r="A60" s="3" t="s">
        <v>186</v>
      </c>
      <c r="B60" s="3" t="s">
        <v>187</v>
      </c>
      <c r="C60" s="3">
        <v>2021</v>
      </c>
      <c r="D60" s="3" t="s">
        <v>188</v>
      </c>
      <c r="E60" s="3" t="s">
        <v>189</v>
      </c>
      <c r="F60" s="3">
        <v>25</v>
      </c>
      <c r="G60" s="3" t="s">
        <v>331</v>
      </c>
      <c r="H60" t="s">
        <v>736</v>
      </c>
      <c r="I60" s="3" t="s">
        <v>646</v>
      </c>
      <c r="J60" t="s">
        <v>736</v>
      </c>
      <c r="K60" t="s">
        <v>736</v>
      </c>
      <c r="L60" s="3" t="s">
        <v>799</v>
      </c>
      <c r="M60" t="s">
        <v>736</v>
      </c>
      <c r="N60" s="3" t="s">
        <v>649</v>
      </c>
      <c r="O60" t="s">
        <v>736</v>
      </c>
      <c r="P60" t="s">
        <v>736</v>
      </c>
      <c r="Q60" s="3" t="s">
        <v>289</v>
      </c>
      <c r="R60" t="s">
        <v>736</v>
      </c>
      <c r="S60" t="s">
        <v>736</v>
      </c>
      <c r="T60" s="3" t="s">
        <v>890</v>
      </c>
      <c r="U60" t="s">
        <v>736</v>
      </c>
      <c r="V60" t="s">
        <v>736</v>
      </c>
      <c r="W60" t="s">
        <v>736</v>
      </c>
      <c r="X60" t="s">
        <v>736</v>
      </c>
      <c r="Y60" t="s">
        <v>736</v>
      </c>
      <c r="Z60" t="s">
        <v>736</v>
      </c>
      <c r="AA60" t="s">
        <v>736</v>
      </c>
      <c r="AB60" t="s">
        <v>736</v>
      </c>
      <c r="AC60" t="s">
        <v>736</v>
      </c>
      <c r="AD60" t="s">
        <v>736</v>
      </c>
      <c r="AE60" t="s">
        <v>736</v>
      </c>
      <c r="AF60" t="s">
        <v>736</v>
      </c>
      <c r="AG60" t="s">
        <v>736</v>
      </c>
      <c r="AH60" t="s">
        <v>736</v>
      </c>
      <c r="AI60" t="s">
        <v>736</v>
      </c>
      <c r="AJ60" t="s">
        <v>736</v>
      </c>
      <c r="AK60" t="s">
        <v>736</v>
      </c>
      <c r="AL60" t="s">
        <v>736</v>
      </c>
      <c r="AM60" t="s">
        <v>736</v>
      </c>
      <c r="AN60" t="s">
        <v>736</v>
      </c>
      <c r="AO60" t="s">
        <v>736</v>
      </c>
      <c r="AP60" t="s">
        <v>736</v>
      </c>
      <c r="AQ60" t="s">
        <v>736</v>
      </c>
      <c r="AR60" t="s">
        <v>736</v>
      </c>
      <c r="AS60" t="s">
        <v>736</v>
      </c>
      <c r="AT60" t="s">
        <v>736</v>
      </c>
      <c r="AU60" t="s">
        <v>736</v>
      </c>
      <c r="AV60" t="s">
        <v>736</v>
      </c>
      <c r="AW60" t="s">
        <v>736</v>
      </c>
      <c r="AX60" t="s">
        <v>736</v>
      </c>
      <c r="AY60" t="s">
        <v>736</v>
      </c>
      <c r="AZ60" t="s">
        <v>736</v>
      </c>
      <c r="BA60" t="s">
        <v>736</v>
      </c>
      <c r="BB60" t="s">
        <v>736</v>
      </c>
      <c r="BC60" t="s">
        <v>736</v>
      </c>
      <c r="BD60" t="s">
        <v>736</v>
      </c>
      <c r="BE60" t="s">
        <v>736</v>
      </c>
      <c r="BF60" t="s">
        <v>736</v>
      </c>
      <c r="BG60" t="s">
        <v>736</v>
      </c>
      <c r="BH60" t="s">
        <v>736</v>
      </c>
      <c r="BI60" t="s">
        <v>736</v>
      </c>
      <c r="BJ60" t="s">
        <v>736</v>
      </c>
      <c r="BK60" t="s">
        <v>736</v>
      </c>
      <c r="BL60" t="s">
        <v>736</v>
      </c>
      <c r="BM60" t="s">
        <v>736</v>
      </c>
      <c r="BN60" t="s">
        <v>736</v>
      </c>
      <c r="BO60" t="s">
        <v>736</v>
      </c>
      <c r="BP60" t="s">
        <v>736</v>
      </c>
      <c r="BQ60" t="s">
        <v>736</v>
      </c>
      <c r="BR60" t="s">
        <v>736</v>
      </c>
      <c r="BS60" t="s">
        <v>736</v>
      </c>
      <c r="BT60" t="s">
        <v>736</v>
      </c>
      <c r="BU60" t="s">
        <v>736</v>
      </c>
      <c r="BV60" s="33"/>
    </row>
    <row r="61" spans="1:74">
      <c r="A61" t="s">
        <v>190</v>
      </c>
      <c r="B61" t="s">
        <v>191</v>
      </c>
      <c r="C61">
        <v>2025</v>
      </c>
      <c r="D61" t="s">
        <v>192</v>
      </c>
      <c r="E61" t="s">
        <v>193</v>
      </c>
      <c r="F61">
        <v>27</v>
      </c>
      <c r="G61" t="s">
        <v>527</v>
      </c>
      <c r="H61" t="s">
        <v>736</v>
      </c>
      <c r="I61" t="s">
        <v>660</v>
      </c>
      <c r="J61" t="s">
        <v>800</v>
      </c>
      <c r="K61" t="s">
        <v>736</v>
      </c>
      <c r="L61" t="s">
        <v>801</v>
      </c>
      <c r="M61" t="s">
        <v>736</v>
      </c>
      <c r="N61" t="s">
        <v>736</v>
      </c>
      <c r="O61" t="s">
        <v>736</v>
      </c>
      <c r="P61" t="s">
        <v>736</v>
      </c>
      <c r="Q61" t="s">
        <v>658</v>
      </c>
      <c r="R61">
        <v>37</v>
      </c>
      <c r="S61" t="s">
        <v>659</v>
      </c>
      <c r="T61" t="s">
        <v>914</v>
      </c>
      <c r="U61" t="s">
        <v>272</v>
      </c>
      <c r="V61" t="s">
        <v>944</v>
      </c>
      <c r="W61" t="s">
        <v>662</v>
      </c>
      <c r="X61">
        <v>490</v>
      </c>
      <c r="Y61">
        <v>30</v>
      </c>
      <c r="Z61">
        <v>790</v>
      </c>
      <c r="AA61">
        <f t="shared" si="2"/>
        <v>6.4516666666666671</v>
      </c>
      <c r="AB61" t="s">
        <v>663</v>
      </c>
      <c r="AC61">
        <v>3</v>
      </c>
      <c r="AD61" t="s">
        <v>950</v>
      </c>
      <c r="AE61" t="s">
        <v>990</v>
      </c>
      <c r="AF61" t="s">
        <v>269</v>
      </c>
      <c r="AG61" t="s">
        <v>664</v>
      </c>
      <c r="AH61" t="s">
        <v>666</v>
      </c>
      <c r="AI61" t="s">
        <v>667</v>
      </c>
      <c r="AJ61" t="s">
        <v>1072</v>
      </c>
      <c r="AK61">
        <v>11</v>
      </c>
      <c r="AL61" t="s">
        <v>1099</v>
      </c>
      <c r="AM61" t="s">
        <v>665</v>
      </c>
      <c r="AN61" t="s">
        <v>736</v>
      </c>
      <c r="AO61" t="s">
        <v>736</v>
      </c>
      <c r="AP61" t="s">
        <v>736</v>
      </c>
      <c r="AQ61" t="s">
        <v>736</v>
      </c>
      <c r="AR61">
        <v>5</v>
      </c>
      <c r="AS61" t="s">
        <v>668</v>
      </c>
      <c r="AT61" t="s">
        <v>669</v>
      </c>
      <c r="AU61" t="s">
        <v>736</v>
      </c>
      <c r="AV61" t="s">
        <v>736</v>
      </c>
      <c r="AW61" t="s">
        <v>661</v>
      </c>
      <c r="AX61" t="s">
        <v>661</v>
      </c>
      <c r="AY61" t="s">
        <v>670</v>
      </c>
      <c r="AZ61" t="s">
        <v>676</v>
      </c>
      <c r="BA61" t="s">
        <v>671</v>
      </c>
      <c r="BB61" t="s">
        <v>672</v>
      </c>
      <c r="BC61" t="s">
        <v>673</v>
      </c>
      <c r="BD61" t="s">
        <v>674</v>
      </c>
      <c r="BE61" t="s">
        <v>675</v>
      </c>
      <c r="BF61" t="s">
        <v>736</v>
      </c>
      <c r="BG61" t="s">
        <v>736</v>
      </c>
      <c r="BH61" t="s">
        <v>736</v>
      </c>
      <c r="BI61" t="s">
        <v>736</v>
      </c>
      <c r="BJ61" t="s">
        <v>736</v>
      </c>
      <c r="BK61" t="s">
        <v>736</v>
      </c>
      <c r="BL61" t="s">
        <v>678</v>
      </c>
      <c r="BM61" t="s">
        <v>736</v>
      </c>
      <c r="BN61" t="s">
        <v>736</v>
      </c>
      <c r="BO61" t="s">
        <v>736</v>
      </c>
      <c r="BP61" t="s">
        <v>1033</v>
      </c>
      <c r="BQ61" t="s">
        <v>1065</v>
      </c>
      <c r="BT61" t="s">
        <v>679</v>
      </c>
      <c r="BU61" t="s">
        <v>677</v>
      </c>
      <c r="BV61" s="33"/>
    </row>
    <row r="62" spans="1:74" s="7" customFormat="1">
      <c r="A62" s="7" t="s">
        <v>194</v>
      </c>
      <c r="B62" s="7" t="s">
        <v>195</v>
      </c>
      <c r="C62" s="7">
        <v>2021</v>
      </c>
      <c r="D62" s="7" t="s">
        <v>147</v>
      </c>
      <c r="E62" s="7" t="s">
        <v>196</v>
      </c>
      <c r="BU62" s="7" t="s">
        <v>680</v>
      </c>
      <c r="BV62" s="33"/>
    </row>
    <row r="63" spans="1:74" s="7" customFormat="1">
      <c r="A63" s="7" t="s">
        <v>197</v>
      </c>
      <c r="B63" s="7" t="s">
        <v>198</v>
      </c>
      <c r="C63" s="7">
        <v>2009</v>
      </c>
      <c r="D63" s="7" t="s">
        <v>61</v>
      </c>
      <c r="E63" s="7" t="s">
        <v>199</v>
      </c>
      <c r="BU63" s="7" t="s">
        <v>621</v>
      </c>
      <c r="BV63" s="33"/>
    </row>
    <row r="64" spans="1:74" s="3" customFormat="1">
      <c r="A64" s="3" t="s">
        <v>200</v>
      </c>
      <c r="B64" s="3" t="s">
        <v>201</v>
      </c>
      <c r="C64" s="3">
        <v>2015</v>
      </c>
      <c r="D64" s="3" t="s">
        <v>202</v>
      </c>
      <c r="E64" s="3" t="s">
        <v>203</v>
      </c>
      <c r="F64" s="3">
        <v>25</v>
      </c>
      <c r="G64" s="3" t="s">
        <v>331</v>
      </c>
      <c r="H64" t="s">
        <v>736</v>
      </c>
      <c r="I64" s="3" t="s">
        <v>822</v>
      </c>
      <c r="J64" s="3" t="s">
        <v>802</v>
      </c>
      <c r="K64" t="s">
        <v>736</v>
      </c>
      <c r="L64" t="s">
        <v>736</v>
      </c>
      <c r="M64" t="s">
        <v>736</v>
      </c>
      <c r="N64" s="10">
        <v>2.04</v>
      </c>
      <c r="O64" t="s">
        <v>736</v>
      </c>
      <c r="P64" t="s">
        <v>857</v>
      </c>
      <c r="Q64" s="3" t="s">
        <v>290</v>
      </c>
      <c r="R64" s="3">
        <v>21</v>
      </c>
      <c r="S64" s="3" t="s">
        <v>869</v>
      </c>
      <c r="T64" t="s">
        <v>915</v>
      </c>
      <c r="U64" s="3" t="s">
        <v>272</v>
      </c>
      <c r="V64" t="s">
        <v>946</v>
      </c>
      <c r="W64" s="3" t="s">
        <v>683</v>
      </c>
      <c r="X64" s="3">
        <v>2400</v>
      </c>
      <c r="Y64" s="3">
        <v>25</v>
      </c>
      <c r="Z64" s="3">
        <v>300</v>
      </c>
      <c r="AA64" s="3">
        <f t="shared" si="2"/>
        <v>12</v>
      </c>
      <c r="AB64" s="3" t="s">
        <v>263</v>
      </c>
      <c r="AC64" s="3">
        <v>3</v>
      </c>
      <c r="AD64" s="3" t="s">
        <v>685</v>
      </c>
      <c r="AE64" t="s">
        <v>736</v>
      </c>
      <c r="AF64" s="3" t="s">
        <v>269</v>
      </c>
      <c r="AG64" s="3" t="s">
        <v>684</v>
      </c>
      <c r="AH64" s="3" t="s">
        <v>686</v>
      </c>
      <c r="AI64" s="3" t="s">
        <v>689</v>
      </c>
      <c r="AJ64" t="s">
        <v>1073</v>
      </c>
      <c r="AK64">
        <v>3</v>
      </c>
      <c r="AL64" t="s">
        <v>1100</v>
      </c>
      <c r="AM64" s="3" t="s">
        <v>687</v>
      </c>
      <c r="AN64" t="s">
        <v>736</v>
      </c>
      <c r="AO64" s="3">
        <v>40.799999999999997</v>
      </c>
      <c r="AP64" s="3">
        <v>2.4</v>
      </c>
      <c r="AQ64" s="3" t="s">
        <v>688</v>
      </c>
      <c r="AR64" s="3" t="s">
        <v>690</v>
      </c>
      <c r="AS64" s="3" t="s">
        <v>995</v>
      </c>
      <c r="AT64" s="3" t="s">
        <v>691</v>
      </c>
      <c r="AU64" t="s">
        <v>736</v>
      </c>
      <c r="AV64" t="s">
        <v>736</v>
      </c>
      <c r="AW64" t="s">
        <v>736</v>
      </c>
      <c r="AX64" t="s">
        <v>736</v>
      </c>
      <c r="AY64" s="3" t="s">
        <v>692</v>
      </c>
      <c r="AZ64" t="s">
        <v>736</v>
      </c>
      <c r="BA64" t="s">
        <v>736</v>
      </c>
      <c r="BB64" t="s">
        <v>736</v>
      </c>
      <c r="BC64" t="s">
        <v>736</v>
      </c>
      <c r="BD64" t="s">
        <v>736</v>
      </c>
      <c r="BE64" t="s">
        <v>736</v>
      </c>
      <c r="BF64" t="s">
        <v>736</v>
      </c>
      <c r="BG64" t="s">
        <v>736</v>
      </c>
      <c r="BH64" t="s">
        <v>736</v>
      </c>
      <c r="BI64" t="s">
        <v>736</v>
      </c>
      <c r="BJ64" t="s">
        <v>736</v>
      </c>
      <c r="BK64" t="s">
        <v>736</v>
      </c>
      <c r="BL64" s="3" t="s">
        <v>693</v>
      </c>
      <c r="BM64" s="3" t="s">
        <v>694</v>
      </c>
      <c r="BN64" t="s">
        <v>736</v>
      </c>
      <c r="BO64" t="s">
        <v>736</v>
      </c>
      <c r="BP64" t="s">
        <v>1034</v>
      </c>
      <c r="BQ64" s="3" t="s">
        <v>273</v>
      </c>
      <c r="BR64" t="s">
        <v>736</v>
      </c>
      <c r="BS64" t="s">
        <v>736</v>
      </c>
      <c r="BT64" s="3" t="s">
        <v>696</v>
      </c>
      <c r="BU64" s="3" t="s">
        <v>695</v>
      </c>
      <c r="BV64" s="33"/>
    </row>
    <row r="65" spans="1:74">
      <c r="A65" t="s">
        <v>204</v>
      </c>
      <c r="B65" t="s">
        <v>205</v>
      </c>
      <c r="C65">
        <v>2018</v>
      </c>
      <c r="D65" t="s">
        <v>206</v>
      </c>
      <c r="E65" t="s">
        <v>207</v>
      </c>
      <c r="F65">
        <v>18</v>
      </c>
      <c r="G65" t="s">
        <v>331</v>
      </c>
      <c r="H65" t="s">
        <v>736</v>
      </c>
      <c r="I65" t="s">
        <v>831</v>
      </c>
      <c r="J65" t="s">
        <v>736</v>
      </c>
      <c r="K65" t="s">
        <v>736</v>
      </c>
      <c r="L65" t="s">
        <v>736</v>
      </c>
      <c r="M65" t="s">
        <v>736</v>
      </c>
      <c r="N65" t="s">
        <v>736</v>
      </c>
      <c r="O65" t="s">
        <v>736</v>
      </c>
      <c r="P65" t="s">
        <v>736</v>
      </c>
      <c r="Q65" t="s">
        <v>289</v>
      </c>
      <c r="R65">
        <v>18</v>
      </c>
      <c r="S65" t="s">
        <v>872</v>
      </c>
      <c r="T65" t="s">
        <v>916</v>
      </c>
      <c r="U65" t="s">
        <v>921</v>
      </c>
      <c r="V65" t="s">
        <v>242</v>
      </c>
      <c r="W65" t="s">
        <v>220</v>
      </c>
      <c r="X65">
        <v>2400</v>
      </c>
      <c r="Y65">
        <v>25</v>
      </c>
      <c r="Z65">
        <v>210</v>
      </c>
      <c r="AA65">
        <f t="shared" si="2"/>
        <v>8.4</v>
      </c>
      <c r="AB65" t="s">
        <v>353</v>
      </c>
      <c r="AC65">
        <v>3</v>
      </c>
      <c r="AD65" t="s">
        <v>271</v>
      </c>
      <c r="AE65" t="s">
        <v>736</v>
      </c>
      <c r="AF65" t="s">
        <v>736</v>
      </c>
      <c r="AG65" t="s">
        <v>270</v>
      </c>
      <c r="AI65" t="s">
        <v>697</v>
      </c>
      <c r="AJ65" t="s">
        <v>1073</v>
      </c>
      <c r="AK65">
        <v>8</v>
      </c>
      <c r="AL65" t="s">
        <v>1101</v>
      </c>
      <c r="AM65" t="s">
        <v>698</v>
      </c>
      <c r="AN65" t="s">
        <v>736</v>
      </c>
      <c r="AO65" t="s">
        <v>706</v>
      </c>
      <c r="AP65" t="s">
        <v>736</v>
      </c>
      <c r="AQ65" t="s">
        <v>273</v>
      </c>
      <c r="AR65">
        <v>3</v>
      </c>
      <c r="AS65" t="s">
        <v>700</v>
      </c>
      <c r="AT65" t="s">
        <v>699</v>
      </c>
      <c r="AU65" t="s">
        <v>736</v>
      </c>
      <c r="AV65" t="s">
        <v>736</v>
      </c>
      <c r="AW65" t="s">
        <v>736</v>
      </c>
      <c r="AX65" t="s">
        <v>736</v>
      </c>
      <c r="AY65" t="s">
        <v>703</v>
      </c>
      <c r="AZ65" t="s">
        <v>736</v>
      </c>
      <c r="BA65" t="s">
        <v>702</v>
      </c>
      <c r="BB65" t="s">
        <v>705</v>
      </c>
      <c r="BC65" t="s">
        <v>736</v>
      </c>
      <c r="BD65" t="s">
        <v>736</v>
      </c>
      <c r="BE65" t="s">
        <v>736</v>
      </c>
      <c r="BF65" t="s">
        <v>736</v>
      </c>
      <c r="BG65" t="s">
        <v>736</v>
      </c>
      <c r="BH65" t="s">
        <v>736</v>
      </c>
      <c r="BI65" t="s">
        <v>736</v>
      </c>
      <c r="BJ65" t="s">
        <v>736</v>
      </c>
      <c r="BK65" t="s">
        <v>736</v>
      </c>
      <c r="BL65" t="s">
        <v>736</v>
      </c>
      <c r="BM65" t="s">
        <v>736</v>
      </c>
      <c r="BN65" t="s">
        <v>736</v>
      </c>
      <c r="BO65" t="s">
        <v>736</v>
      </c>
      <c r="BP65" t="s">
        <v>1035</v>
      </c>
      <c r="BQ65" s="3" t="s">
        <v>273</v>
      </c>
      <c r="BR65" s="2" t="s">
        <v>704</v>
      </c>
      <c r="BS65" t="s">
        <v>736</v>
      </c>
      <c r="BT65" t="s">
        <v>736</v>
      </c>
      <c r="BU65" t="s">
        <v>701</v>
      </c>
      <c r="BV65" s="33"/>
    </row>
    <row r="66" spans="1:74" s="3" customFormat="1">
      <c r="A66" s="3" t="s">
        <v>208</v>
      </c>
      <c r="B66" s="3" t="s">
        <v>209</v>
      </c>
      <c r="C66" s="3">
        <v>2018</v>
      </c>
      <c r="D66" s="3" t="s">
        <v>163</v>
      </c>
      <c r="E66" s="3" t="s">
        <v>210</v>
      </c>
      <c r="F66" s="3">
        <v>20</v>
      </c>
      <c r="G66" s="3" t="s">
        <v>331</v>
      </c>
      <c r="H66" t="s">
        <v>736</v>
      </c>
      <c r="I66" s="3" t="s">
        <v>823</v>
      </c>
      <c r="J66" t="s">
        <v>736</v>
      </c>
      <c r="K66" t="s">
        <v>736</v>
      </c>
      <c r="L66" s="3" t="s">
        <v>804</v>
      </c>
      <c r="M66" t="s">
        <v>736</v>
      </c>
      <c r="N66" t="s">
        <v>736</v>
      </c>
      <c r="O66" t="s">
        <v>736</v>
      </c>
      <c r="P66" t="s">
        <v>736</v>
      </c>
      <c r="Q66" s="3" t="s">
        <v>289</v>
      </c>
      <c r="R66" s="3">
        <v>18</v>
      </c>
      <c r="S66" s="3" t="s">
        <v>870</v>
      </c>
      <c r="T66" t="s">
        <v>917</v>
      </c>
      <c r="U66" t="s">
        <v>921</v>
      </c>
      <c r="V66" t="s">
        <v>242</v>
      </c>
      <c r="W66" s="3" t="s">
        <v>220</v>
      </c>
      <c r="X66" s="3">
        <v>2400</v>
      </c>
      <c r="Y66" s="3">
        <v>25</v>
      </c>
      <c r="Z66" s="3">
        <v>210</v>
      </c>
      <c r="AA66" s="3">
        <f t="shared" si="2"/>
        <v>8.4</v>
      </c>
      <c r="AB66" s="3" t="s">
        <v>707</v>
      </c>
      <c r="AC66" s="3">
        <v>3</v>
      </c>
      <c r="AD66" t="s">
        <v>965</v>
      </c>
      <c r="AE66" t="s">
        <v>736</v>
      </c>
      <c r="AF66" s="3" t="s">
        <v>269</v>
      </c>
      <c r="AG66" s="3" t="s">
        <v>270</v>
      </c>
      <c r="AH66" s="3" t="s">
        <v>708</v>
      </c>
      <c r="AI66" s="3" t="s">
        <v>710</v>
      </c>
      <c r="AJ66" t="s">
        <v>1073</v>
      </c>
      <c r="AK66">
        <v>7</v>
      </c>
      <c r="AL66" t="s">
        <v>1102</v>
      </c>
      <c r="AM66" s="3" t="s">
        <v>709</v>
      </c>
      <c r="AN66" t="s">
        <v>736</v>
      </c>
      <c r="AO66" t="s">
        <v>736</v>
      </c>
      <c r="AP66" t="s">
        <v>736</v>
      </c>
      <c r="AQ66" t="s">
        <v>736</v>
      </c>
      <c r="AR66" s="3" t="s">
        <v>715</v>
      </c>
      <c r="AS66" t="s">
        <v>736</v>
      </c>
      <c r="AT66" s="3" t="s">
        <v>1003</v>
      </c>
      <c r="AU66" t="s">
        <v>736</v>
      </c>
      <c r="AV66" t="s">
        <v>736</v>
      </c>
      <c r="AW66" t="s">
        <v>736</v>
      </c>
      <c r="AX66" t="s">
        <v>736</v>
      </c>
      <c r="AY66" t="s">
        <v>736</v>
      </c>
      <c r="AZ66" t="s">
        <v>736</v>
      </c>
      <c r="BA66" s="3" t="s">
        <v>711</v>
      </c>
      <c r="BB66" t="s">
        <v>736</v>
      </c>
      <c r="BC66" t="s">
        <v>736</v>
      </c>
      <c r="BD66" t="s">
        <v>736</v>
      </c>
      <c r="BE66" t="s">
        <v>736</v>
      </c>
      <c r="BF66" t="s">
        <v>736</v>
      </c>
      <c r="BG66" s="3" t="s">
        <v>712</v>
      </c>
      <c r="BH66" t="s">
        <v>736</v>
      </c>
      <c r="BI66" t="s">
        <v>736</v>
      </c>
      <c r="BJ66" t="s">
        <v>736</v>
      </c>
      <c r="BK66" t="s">
        <v>736</v>
      </c>
      <c r="BM66" t="s">
        <v>736</v>
      </c>
      <c r="BN66" t="s">
        <v>736</v>
      </c>
      <c r="BO66" t="s">
        <v>736</v>
      </c>
      <c r="BP66" t="s">
        <v>1036</v>
      </c>
      <c r="BQ66" t="s">
        <v>1066</v>
      </c>
      <c r="BR66" s="4" t="s">
        <v>713</v>
      </c>
      <c r="BS66" t="s">
        <v>736</v>
      </c>
      <c r="BT66" t="s">
        <v>736</v>
      </c>
      <c r="BU66" s="3" t="s">
        <v>714</v>
      </c>
      <c r="BV66" s="33"/>
    </row>
    <row r="67" spans="1:74">
      <c r="A67" t="s">
        <v>211</v>
      </c>
      <c r="B67" t="s">
        <v>212</v>
      </c>
      <c r="C67">
        <v>2009</v>
      </c>
      <c r="D67" t="s">
        <v>213</v>
      </c>
      <c r="E67" t="s">
        <v>214</v>
      </c>
      <c r="F67">
        <v>8</v>
      </c>
      <c r="G67" t="s">
        <v>717</v>
      </c>
      <c r="H67" t="s">
        <v>736</v>
      </c>
      <c r="I67" t="s">
        <v>824</v>
      </c>
      <c r="J67" t="s">
        <v>736</v>
      </c>
      <c r="K67" t="s">
        <v>736</v>
      </c>
      <c r="L67" t="s">
        <v>803</v>
      </c>
      <c r="M67" t="s">
        <v>736</v>
      </c>
      <c r="N67" t="s">
        <v>736</v>
      </c>
      <c r="O67" t="s">
        <v>736</v>
      </c>
      <c r="P67" t="s">
        <v>854</v>
      </c>
      <c r="Q67" t="s">
        <v>658</v>
      </c>
      <c r="R67">
        <v>10</v>
      </c>
      <c r="S67" t="s">
        <v>871</v>
      </c>
      <c r="T67" t="s">
        <v>918</v>
      </c>
      <c r="U67" t="s">
        <v>272</v>
      </c>
      <c r="V67" t="s">
        <v>947</v>
      </c>
      <c r="W67" t="s">
        <v>948</v>
      </c>
      <c r="X67">
        <v>2000</v>
      </c>
      <c r="Y67">
        <v>37</v>
      </c>
      <c r="Z67">
        <v>150</v>
      </c>
      <c r="AA67">
        <f t="shared" si="2"/>
        <v>5</v>
      </c>
      <c r="AB67" t="s">
        <v>736</v>
      </c>
      <c r="AC67">
        <v>3</v>
      </c>
      <c r="AD67" t="s">
        <v>273</v>
      </c>
      <c r="AE67" t="s">
        <v>736</v>
      </c>
      <c r="AF67" t="s">
        <v>269</v>
      </c>
      <c r="AG67" t="s">
        <v>269</v>
      </c>
      <c r="AI67" t="s">
        <v>719</v>
      </c>
      <c r="AJ67" t="s">
        <v>1072</v>
      </c>
      <c r="AK67">
        <v>18</v>
      </c>
      <c r="AL67" t="s">
        <v>1103</v>
      </c>
      <c r="AM67" t="s">
        <v>718</v>
      </c>
      <c r="AN67" t="s">
        <v>736</v>
      </c>
      <c r="AP67" t="s">
        <v>736</v>
      </c>
      <c r="AQ67" t="s">
        <v>736</v>
      </c>
      <c r="AR67" t="s">
        <v>736</v>
      </c>
      <c r="AS67" t="s">
        <v>736</v>
      </c>
      <c r="AT67" t="s">
        <v>736</v>
      </c>
      <c r="AU67" t="s">
        <v>736</v>
      </c>
      <c r="AV67" t="s">
        <v>736</v>
      </c>
      <c r="AW67" t="s">
        <v>736</v>
      </c>
      <c r="AX67" t="s">
        <v>736</v>
      </c>
      <c r="AY67" t="s">
        <v>736</v>
      </c>
      <c r="AZ67" t="s">
        <v>736</v>
      </c>
      <c r="BA67" t="s">
        <v>720</v>
      </c>
      <c r="BB67" t="s">
        <v>721</v>
      </c>
      <c r="BC67" t="s">
        <v>736</v>
      </c>
      <c r="BD67" t="s">
        <v>736</v>
      </c>
      <c r="BE67" t="s">
        <v>736</v>
      </c>
      <c r="BF67" t="s">
        <v>736</v>
      </c>
      <c r="BG67" t="s">
        <v>736</v>
      </c>
      <c r="BH67" t="s">
        <v>736</v>
      </c>
      <c r="BI67" t="s">
        <v>736</v>
      </c>
      <c r="BJ67" t="s">
        <v>736</v>
      </c>
      <c r="BK67" t="s">
        <v>736</v>
      </c>
      <c r="BM67" t="s">
        <v>736</v>
      </c>
      <c r="BN67" t="s">
        <v>736</v>
      </c>
      <c r="BO67" t="s">
        <v>736</v>
      </c>
      <c r="BP67" t="s">
        <v>736</v>
      </c>
      <c r="BQ67" t="s">
        <v>736</v>
      </c>
      <c r="BR67" t="s">
        <v>736</v>
      </c>
      <c r="BS67" t="s">
        <v>736</v>
      </c>
      <c r="BT67" t="s">
        <v>723</v>
      </c>
      <c r="BU67" t="s">
        <v>722</v>
      </c>
      <c r="BV67" s="33"/>
    </row>
    <row r="68" spans="1:74" s="3" customFormat="1">
      <c r="A68" s="3" t="s">
        <v>215</v>
      </c>
      <c r="B68" s="3" t="s">
        <v>216</v>
      </c>
      <c r="C68" s="3">
        <v>2023</v>
      </c>
      <c r="D68" s="3" t="s">
        <v>217</v>
      </c>
      <c r="E68" s="3" t="s">
        <v>218</v>
      </c>
      <c r="F68" s="3">
        <v>45</v>
      </c>
      <c r="G68" s="3" t="s">
        <v>724</v>
      </c>
      <c r="H68" t="s">
        <v>736</v>
      </c>
      <c r="I68" s="3" t="s">
        <v>825</v>
      </c>
      <c r="J68" s="3" t="s">
        <v>805</v>
      </c>
      <c r="K68" t="s">
        <v>736</v>
      </c>
      <c r="L68" s="3" t="s">
        <v>806</v>
      </c>
      <c r="M68" t="s">
        <v>736</v>
      </c>
      <c r="N68" t="s">
        <v>736</v>
      </c>
      <c r="O68" t="s">
        <v>736</v>
      </c>
      <c r="P68" t="s">
        <v>736</v>
      </c>
      <c r="Q68" s="3" t="s">
        <v>290</v>
      </c>
      <c r="R68" t="s">
        <v>736</v>
      </c>
      <c r="S68" t="s">
        <v>736</v>
      </c>
      <c r="T68" t="s">
        <v>910</v>
      </c>
      <c r="U68" t="s">
        <v>921</v>
      </c>
      <c r="V68" t="s">
        <v>242</v>
      </c>
      <c r="W68" s="3" t="s">
        <v>220</v>
      </c>
      <c r="X68" s="3">
        <v>2400</v>
      </c>
      <c r="Y68" s="3">
        <v>25</v>
      </c>
      <c r="Z68" s="3">
        <v>210</v>
      </c>
      <c r="AA68" s="3">
        <f t="shared" si="2"/>
        <v>8.4</v>
      </c>
      <c r="AB68" t="s">
        <v>736</v>
      </c>
      <c r="AC68" s="3">
        <v>3</v>
      </c>
      <c r="AD68" t="s">
        <v>964</v>
      </c>
      <c r="AE68" t="s">
        <v>991</v>
      </c>
      <c r="AF68" s="3" t="s">
        <v>269</v>
      </c>
      <c r="AG68" s="3" t="s">
        <v>266</v>
      </c>
      <c r="AH68" s="3" t="s">
        <v>725</v>
      </c>
      <c r="AI68" s="3" t="s">
        <v>697</v>
      </c>
      <c r="AJ68" s="11" t="s">
        <v>1073</v>
      </c>
      <c r="AK68" s="13">
        <v>8</v>
      </c>
      <c r="AL68" s="11" t="s">
        <v>1104</v>
      </c>
      <c r="AM68" s="3" t="s">
        <v>726</v>
      </c>
      <c r="AN68" t="s">
        <v>736</v>
      </c>
      <c r="AO68" s="3">
        <v>44</v>
      </c>
      <c r="AP68" s="3">
        <v>2.4</v>
      </c>
      <c r="AQ68" s="3">
        <v>179</v>
      </c>
      <c r="AR68" s="3">
        <v>2</v>
      </c>
      <c r="AS68" s="3" t="s">
        <v>727</v>
      </c>
      <c r="AT68" s="3" t="s">
        <v>997</v>
      </c>
      <c r="AU68" t="s">
        <v>736</v>
      </c>
      <c r="AV68" t="s">
        <v>736</v>
      </c>
      <c r="AW68" t="s">
        <v>736</v>
      </c>
      <c r="AX68" t="s">
        <v>736</v>
      </c>
      <c r="AY68" s="3" t="s">
        <v>729</v>
      </c>
      <c r="AZ68" t="s">
        <v>736</v>
      </c>
      <c r="BA68" s="3" t="s">
        <v>730</v>
      </c>
      <c r="BB68" t="s">
        <v>736</v>
      </c>
      <c r="BC68" t="s">
        <v>736</v>
      </c>
      <c r="BD68" t="s">
        <v>736</v>
      </c>
      <c r="BE68" t="s">
        <v>736</v>
      </c>
      <c r="BF68" t="s">
        <v>736</v>
      </c>
      <c r="BG68" s="3" t="s">
        <v>731</v>
      </c>
      <c r="BH68" t="s">
        <v>736</v>
      </c>
      <c r="BI68" t="s">
        <v>736</v>
      </c>
      <c r="BJ68" t="s">
        <v>736</v>
      </c>
      <c r="BK68" t="s">
        <v>736</v>
      </c>
      <c r="BM68" t="s">
        <v>736</v>
      </c>
      <c r="BN68" t="s">
        <v>736</v>
      </c>
      <c r="BO68" t="s">
        <v>736</v>
      </c>
      <c r="BP68" t="s">
        <v>1037</v>
      </c>
      <c r="BQ68" t="s">
        <v>1067</v>
      </c>
      <c r="BR68" t="s">
        <v>736</v>
      </c>
      <c r="BS68" s="8" t="s">
        <v>732</v>
      </c>
      <c r="BU68" s="3" t="s">
        <v>728</v>
      </c>
      <c r="BV68" s="33"/>
    </row>
  </sheetData>
  <mergeCells count="12">
    <mergeCell ref="A1:E1"/>
    <mergeCell ref="BP1:BQ1"/>
    <mergeCell ref="F1:T1"/>
    <mergeCell ref="U1:AX1"/>
    <mergeCell ref="AY1:BE1"/>
    <mergeCell ref="BV3:BV68"/>
    <mergeCell ref="BG1:BM1"/>
    <mergeCell ref="BS1:BS2"/>
    <mergeCell ref="BT1:BT2"/>
    <mergeCell ref="BV1:BV2"/>
    <mergeCell ref="BR1:BR2"/>
    <mergeCell ref="BU1:BU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B02D-CFE2-42BD-B3F3-7ADEAC546DD7}">
  <dimension ref="A1:DG61"/>
  <sheetViews>
    <sheetView workbookViewId="0">
      <pane xSplit="5" ySplit="2" topLeftCell="CB51" activePane="bottomRight" state="frozen"/>
      <selection pane="topRight" activeCell="F1" sqref="F1"/>
      <selection pane="bottomLeft" activeCell="A3" sqref="A3"/>
      <selection pane="bottomRight" activeCell="CD3" sqref="CD3:CD61"/>
    </sheetView>
  </sheetViews>
  <sheetFormatPr defaultRowHeight="14.25"/>
  <cols>
    <col min="5" max="5" width="28" customWidth="1"/>
    <col min="6" max="6" width="16.86328125" customWidth="1"/>
    <col min="7" max="24" width="21.265625" customWidth="1"/>
    <col min="25" max="25" width="14.86328125" customWidth="1"/>
    <col min="26" max="26" width="17.59765625" customWidth="1"/>
    <col min="27" max="28" width="19.59765625" customWidth="1"/>
    <col min="29" max="31" width="16.86328125" customWidth="1"/>
    <col min="32" max="32" width="31.3984375" customWidth="1"/>
    <col min="33" max="33" width="26.265625" customWidth="1"/>
    <col min="34" max="49" width="14.86328125" customWidth="1"/>
    <col min="50" max="50" width="26.46484375" customWidth="1"/>
    <col min="51" max="51" width="24.73046875" customWidth="1"/>
    <col min="52" max="52" width="22.06640625" customWidth="1"/>
    <col min="53" max="53" width="21.265625" customWidth="1"/>
    <col min="54" max="54" width="22.46484375" customWidth="1"/>
    <col min="55" max="55" width="24.73046875" customWidth="1"/>
    <col min="56" max="63" width="14.86328125" customWidth="1"/>
    <col min="64" max="64" width="27.265625" customWidth="1"/>
    <col min="65" max="65" width="29.73046875" customWidth="1"/>
    <col min="66" max="66" width="13.1328125" customWidth="1"/>
    <col min="67" max="67" width="26.59765625" customWidth="1"/>
    <col min="68" max="69" width="13.1328125" customWidth="1"/>
    <col min="70" max="71" width="28" customWidth="1"/>
    <col min="72" max="72" width="13.1328125" customWidth="1"/>
    <col min="73" max="74" width="28" customWidth="1"/>
    <col min="75" max="86" width="28.3984375" customWidth="1"/>
    <col min="87" max="87" width="28.3984375" style="21" customWidth="1"/>
    <col min="88" max="88" width="28.3984375" customWidth="1"/>
    <col min="89" max="89" width="26.86328125" customWidth="1"/>
    <col min="90" max="95" width="26.73046875" customWidth="1"/>
    <col min="96" max="100" width="21.59765625" customWidth="1"/>
    <col min="101" max="102" width="26.73046875" customWidth="1"/>
    <col min="103" max="103" width="17.265625" customWidth="1"/>
    <col min="104" max="104" width="20.59765625" customWidth="1"/>
    <col min="105" max="105" width="21" customWidth="1"/>
    <col min="106" max="106" width="17.59765625" customWidth="1"/>
    <col min="107" max="107" width="61" customWidth="1"/>
    <col min="108" max="109" width="36.1328125" customWidth="1"/>
    <col min="110" max="110" width="35.86328125" customWidth="1"/>
    <col min="111" max="111" width="75.1328125" customWidth="1"/>
  </cols>
  <sheetData>
    <row r="1" spans="1:111">
      <c r="A1" s="34" t="s">
        <v>219</v>
      </c>
      <c r="B1" s="34"/>
      <c r="C1" s="34"/>
      <c r="D1" s="34"/>
      <c r="E1" s="34"/>
      <c r="F1" s="34" t="s">
        <v>36</v>
      </c>
      <c r="G1" s="34"/>
      <c r="H1" s="34"/>
      <c r="I1" s="34"/>
      <c r="J1" s="34"/>
      <c r="K1" s="34"/>
      <c r="L1" s="34"/>
      <c r="M1" s="34"/>
      <c r="N1" s="34"/>
      <c r="O1" s="34"/>
      <c r="P1" s="34"/>
      <c r="Q1" s="34"/>
      <c r="R1" s="34"/>
      <c r="S1" s="34"/>
      <c r="T1" s="34"/>
      <c r="U1" s="34"/>
      <c r="V1" s="34"/>
      <c r="W1" s="34"/>
      <c r="X1" s="34"/>
      <c r="Y1" s="34"/>
      <c r="Z1" s="34"/>
      <c r="AA1" s="34"/>
      <c r="AB1" s="34"/>
      <c r="AC1" s="34"/>
      <c r="AD1" s="34"/>
      <c r="AE1" s="34"/>
      <c r="AF1" s="34" t="s">
        <v>37</v>
      </c>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t="s">
        <v>1144</v>
      </c>
      <c r="CB1" s="34"/>
      <c r="CC1" s="34"/>
      <c r="CD1" s="34"/>
      <c r="CE1" s="34"/>
      <c r="CF1" s="34"/>
      <c r="CG1" s="34"/>
      <c r="CH1" s="34"/>
      <c r="CI1" s="20"/>
      <c r="CJ1" s="34"/>
      <c r="CK1" s="34"/>
      <c r="CL1" s="34"/>
      <c r="CM1" s="34"/>
      <c r="CN1" s="34"/>
      <c r="CO1" s="34"/>
      <c r="CP1" s="34"/>
      <c r="CQ1" s="14"/>
      <c r="CR1" s="34"/>
      <c r="CS1" s="34"/>
      <c r="CT1" s="34"/>
      <c r="CU1" s="34"/>
      <c r="CV1" s="34"/>
      <c r="CW1" s="34"/>
      <c r="CX1" s="34"/>
      <c r="DA1" s="34"/>
      <c r="DB1" s="34"/>
      <c r="DC1" s="35"/>
      <c r="DD1" s="35"/>
      <c r="DE1" s="35"/>
      <c r="DF1" s="34"/>
      <c r="DG1" s="34"/>
    </row>
    <row r="2" spans="1:111">
      <c r="A2" t="s">
        <v>1292</v>
      </c>
      <c r="B2" t="s">
        <v>1293</v>
      </c>
      <c r="C2" t="s">
        <v>1294</v>
      </c>
      <c r="D2" t="s">
        <v>1295</v>
      </c>
      <c r="E2" t="s">
        <v>1296</v>
      </c>
      <c r="F2" t="s">
        <v>1288</v>
      </c>
      <c r="G2" t="s">
        <v>1378</v>
      </c>
      <c r="H2" t="s">
        <v>1379</v>
      </c>
      <c r="I2" t="s">
        <v>1380</v>
      </c>
      <c r="J2" t="s">
        <v>1381</v>
      </c>
      <c r="K2" t="s">
        <v>1388</v>
      </c>
      <c r="L2" t="s">
        <v>1389</v>
      </c>
      <c r="M2" t="s">
        <v>1390</v>
      </c>
      <c r="N2" t="s">
        <v>1391</v>
      </c>
      <c r="O2" t="s">
        <v>1392</v>
      </c>
      <c r="P2" t="s">
        <v>1393</v>
      </c>
      <c r="Q2" t="s">
        <v>1394</v>
      </c>
      <c r="R2" t="s">
        <v>1395</v>
      </c>
      <c r="S2" t="s">
        <v>1396</v>
      </c>
      <c r="T2" t="s">
        <v>1397</v>
      </c>
      <c r="U2" t="s">
        <v>1398</v>
      </c>
      <c r="V2" t="s">
        <v>1399</v>
      </c>
      <c r="W2" t="s">
        <v>1400</v>
      </c>
      <c r="X2" t="s">
        <v>1401</v>
      </c>
      <c r="Y2" t="s">
        <v>1289</v>
      </c>
      <c r="Z2" t="s">
        <v>1290</v>
      </c>
      <c r="AA2" t="s">
        <v>1406</v>
      </c>
      <c r="AB2" t="s">
        <v>1407</v>
      </c>
      <c r="AC2" t="s">
        <v>1267</v>
      </c>
      <c r="AD2" t="s">
        <v>1268</v>
      </c>
      <c r="AE2" t="s">
        <v>1269</v>
      </c>
      <c r="AF2" t="s">
        <v>1291</v>
      </c>
      <c r="AG2" t="s">
        <v>1408</v>
      </c>
      <c r="AH2" t="s">
        <v>1430</v>
      </c>
      <c r="AI2" t="s">
        <v>1431</v>
      </c>
      <c r="AJ2" t="s">
        <v>1297</v>
      </c>
      <c r="AK2" t="s">
        <v>1298</v>
      </c>
      <c r="AL2" t="s">
        <v>1299</v>
      </c>
      <c r="AM2" t="s">
        <v>1300</v>
      </c>
      <c r="AN2" t="s">
        <v>1301</v>
      </c>
      <c r="AO2" t="s">
        <v>1302</v>
      </c>
      <c r="AP2" t="s">
        <v>1437</v>
      </c>
      <c r="AQ2" t="s">
        <v>1438</v>
      </c>
      <c r="AR2" t="s">
        <v>1439</v>
      </c>
      <c r="AS2" t="s">
        <v>1440</v>
      </c>
      <c r="AT2" t="s">
        <v>1441</v>
      </c>
      <c r="AU2" t="s">
        <v>1442</v>
      </c>
      <c r="AV2" t="s">
        <v>1443</v>
      </c>
      <c r="AW2" t="s">
        <v>1302</v>
      </c>
      <c r="AX2" t="s">
        <v>1446</v>
      </c>
      <c r="AY2" t="s">
        <v>1447</v>
      </c>
      <c r="AZ2" t="s">
        <v>1448</v>
      </c>
      <c r="BA2" t="s">
        <v>1449</v>
      </c>
      <c r="BB2" t="s">
        <v>1450</v>
      </c>
      <c r="BC2" t="s">
        <v>1451</v>
      </c>
      <c r="BD2" t="s">
        <v>260</v>
      </c>
      <c r="BE2" t="s">
        <v>1303</v>
      </c>
      <c r="BF2" t="s">
        <v>1458</v>
      </c>
      <c r="BG2" t="s">
        <v>1459</v>
      </c>
      <c r="BH2" t="s">
        <v>1460</v>
      </c>
      <c r="BI2" t="s">
        <v>1461</v>
      </c>
      <c r="BJ2" t="s">
        <v>1462</v>
      </c>
      <c r="BK2" t="s">
        <v>1463</v>
      </c>
      <c r="BL2" t="s">
        <v>1304</v>
      </c>
      <c r="BM2" t="s">
        <v>1305</v>
      </c>
      <c r="BN2" t="s">
        <v>1306</v>
      </c>
      <c r="BO2" s="12" t="s">
        <v>1565</v>
      </c>
      <c r="BP2" t="s">
        <v>1307</v>
      </c>
      <c r="BQ2" t="s">
        <v>1308</v>
      </c>
      <c r="BR2" t="s">
        <v>1309</v>
      </c>
      <c r="BS2" t="s">
        <v>1310</v>
      </c>
      <c r="BT2" t="s">
        <v>1311</v>
      </c>
      <c r="BU2" t="s">
        <v>1312</v>
      </c>
      <c r="BV2" t="s">
        <v>1313</v>
      </c>
      <c r="BW2" t="s">
        <v>1314</v>
      </c>
      <c r="BX2" t="s">
        <v>1315</v>
      </c>
      <c r="BY2" t="s">
        <v>1316</v>
      </c>
      <c r="BZ2" t="s">
        <v>1317</v>
      </c>
      <c r="CA2" t="s">
        <v>1479</v>
      </c>
      <c r="CB2" t="s">
        <v>1213</v>
      </c>
      <c r="CC2" t="s">
        <v>1214</v>
      </c>
      <c r="CD2" t="s">
        <v>1215</v>
      </c>
      <c r="CE2" t="s">
        <v>1199</v>
      </c>
      <c r="CF2" t="s">
        <v>1216</v>
      </c>
      <c r="CG2" t="s">
        <v>1507</v>
      </c>
      <c r="CH2" t="s">
        <v>1145</v>
      </c>
      <c r="DC2" s="35"/>
      <c r="DD2" s="35"/>
      <c r="DE2" s="35"/>
      <c r="DF2" s="34"/>
      <c r="DG2" s="34"/>
    </row>
    <row r="3" spans="1:111" ht="14.25" customHeight="1">
      <c r="A3" t="s">
        <v>59</v>
      </c>
      <c r="B3" t="s">
        <v>1320</v>
      </c>
      <c r="C3">
        <v>2023</v>
      </c>
      <c r="D3" s="3" t="s">
        <v>1357</v>
      </c>
      <c r="E3" t="s">
        <v>62</v>
      </c>
      <c r="F3">
        <v>27</v>
      </c>
      <c r="G3" t="s">
        <v>273</v>
      </c>
      <c r="H3" t="s">
        <v>273</v>
      </c>
      <c r="I3">
        <v>64.8</v>
      </c>
      <c r="J3">
        <v>7.6</v>
      </c>
      <c r="K3">
        <v>32.9</v>
      </c>
      <c r="L3">
        <v>10.9</v>
      </c>
      <c r="M3" t="s">
        <v>273</v>
      </c>
      <c r="N3" t="s">
        <v>273</v>
      </c>
      <c r="O3">
        <v>54.3</v>
      </c>
      <c r="P3">
        <v>16.2</v>
      </c>
      <c r="Q3" t="s">
        <v>273</v>
      </c>
      <c r="R3" t="s">
        <v>273</v>
      </c>
      <c r="S3" t="s">
        <v>273</v>
      </c>
      <c r="T3" t="s">
        <v>273</v>
      </c>
      <c r="U3" t="s">
        <v>273</v>
      </c>
      <c r="V3" t="s">
        <v>273</v>
      </c>
      <c r="W3" t="s">
        <v>273</v>
      </c>
      <c r="X3" t="s">
        <v>273</v>
      </c>
      <c r="Y3" t="s">
        <v>289</v>
      </c>
      <c r="Z3">
        <v>16</v>
      </c>
      <c r="AA3">
        <v>60.3</v>
      </c>
      <c r="AB3">
        <v>7.4</v>
      </c>
      <c r="AC3" t="s">
        <v>527</v>
      </c>
      <c r="AD3" t="s">
        <v>1270</v>
      </c>
      <c r="AE3" t="s">
        <v>1112</v>
      </c>
      <c r="AF3" t="s">
        <v>272</v>
      </c>
      <c r="AG3" t="s">
        <v>920</v>
      </c>
      <c r="AH3" t="s">
        <v>1432</v>
      </c>
      <c r="AI3" t="s">
        <v>910</v>
      </c>
      <c r="AJ3">
        <v>2100</v>
      </c>
      <c r="AK3">
        <v>40</v>
      </c>
      <c r="AL3">
        <v>210</v>
      </c>
      <c r="AM3">
        <f>AJ3*AL3/60000</f>
        <v>7.35</v>
      </c>
      <c r="AN3" t="s">
        <v>263</v>
      </c>
      <c r="AO3">
        <v>1.5</v>
      </c>
      <c r="AP3" t="s">
        <v>428</v>
      </c>
      <c r="AQ3" t="s">
        <v>1444</v>
      </c>
      <c r="AR3" t="s">
        <v>269</v>
      </c>
      <c r="AS3" t="s">
        <v>269</v>
      </c>
      <c r="AT3" t="s">
        <v>269</v>
      </c>
      <c r="AU3" t="s">
        <v>269</v>
      </c>
      <c r="AV3" t="s">
        <v>269</v>
      </c>
      <c r="AW3">
        <v>1.5</v>
      </c>
      <c r="AX3" t="s">
        <v>273</v>
      </c>
      <c r="AY3" t="s">
        <v>273</v>
      </c>
      <c r="AZ3" t="s">
        <v>273</v>
      </c>
      <c r="BA3" t="s">
        <v>273</v>
      </c>
      <c r="BB3" t="s">
        <v>273</v>
      </c>
      <c r="BC3" t="s">
        <v>273</v>
      </c>
      <c r="BD3" t="s">
        <v>273</v>
      </c>
      <c r="BE3" t="s">
        <v>266</v>
      </c>
      <c r="BF3" t="s">
        <v>1464</v>
      </c>
      <c r="BG3">
        <v>8.9999999999999993E-3</v>
      </c>
      <c r="BH3">
        <v>0.08</v>
      </c>
      <c r="BI3" t="s">
        <v>273</v>
      </c>
      <c r="BJ3" t="s">
        <v>273</v>
      </c>
      <c r="BK3" t="s">
        <v>273</v>
      </c>
      <c r="BL3" t="s">
        <v>1072</v>
      </c>
      <c r="BM3" t="s">
        <v>910</v>
      </c>
      <c r="BN3">
        <v>12</v>
      </c>
      <c r="BO3" t="s">
        <v>1537</v>
      </c>
      <c r="BP3" t="s">
        <v>1125</v>
      </c>
      <c r="BQ3" t="s">
        <v>223</v>
      </c>
      <c r="BR3" t="s">
        <v>910</v>
      </c>
      <c r="BS3" t="s">
        <v>910</v>
      </c>
      <c r="BT3" t="s">
        <v>223</v>
      </c>
      <c r="BU3">
        <v>8</v>
      </c>
      <c r="BV3" t="s">
        <v>389</v>
      </c>
      <c r="BW3" t="s">
        <v>1467</v>
      </c>
      <c r="BX3" t="s">
        <v>273</v>
      </c>
      <c r="BY3" t="s">
        <v>285</v>
      </c>
      <c r="BZ3" t="s">
        <v>222</v>
      </c>
      <c r="CA3" t="s">
        <v>1175</v>
      </c>
      <c r="CB3" t="s">
        <v>1217</v>
      </c>
      <c r="CC3" t="s">
        <v>1211</v>
      </c>
      <c r="CD3" t="s">
        <v>1218</v>
      </c>
      <c r="CE3" t="s">
        <v>1200</v>
      </c>
      <c r="CF3" t="s">
        <v>1219</v>
      </c>
      <c r="CG3" t="s">
        <v>1508</v>
      </c>
      <c r="CH3" t="s">
        <v>1146</v>
      </c>
      <c r="DC3" s="2"/>
      <c r="DG3" s="33"/>
    </row>
    <row r="4" spans="1:111" s="3" customFormat="1">
      <c r="A4" s="3" t="s">
        <v>63</v>
      </c>
      <c r="B4" s="3" t="s">
        <v>1321</v>
      </c>
      <c r="C4" s="3">
        <v>2024</v>
      </c>
      <c r="D4" s="3" t="s">
        <v>1358</v>
      </c>
      <c r="E4" s="3" t="s">
        <v>66</v>
      </c>
      <c r="F4" s="3">
        <v>63</v>
      </c>
      <c r="G4" s="3">
        <v>50</v>
      </c>
      <c r="H4" s="3">
        <v>85</v>
      </c>
      <c r="I4" s="3" t="s">
        <v>273</v>
      </c>
      <c r="J4" s="3" t="s">
        <v>273</v>
      </c>
      <c r="K4" s="3" t="s">
        <v>273</v>
      </c>
      <c r="L4" s="3" t="s">
        <v>273</v>
      </c>
      <c r="M4" s="3" t="s">
        <v>273</v>
      </c>
      <c r="N4" s="3" t="s">
        <v>273</v>
      </c>
      <c r="O4" s="3" t="s">
        <v>273</v>
      </c>
      <c r="P4" s="3" t="s">
        <v>273</v>
      </c>
      <c r="Q4" s="3">
        <v>23</v>
      </c>
      <c r="R4" s="3">
        <v>17</v>
      </c>
      <c r="S4" s="3" t="s">
        <v>273</v>
      </c>
      <c r="T4" s="3" t="s">
        <v>273</v>
      </c>
      <c r="U4" s="3" t="s">
        <v>273</v>
      </c>
      <c r="V4" s="3" t="s">
        <v>273</v>
      </c>
      <c r="W4" s="3" t="s">
        <v>273</v>
      </c>
      <c r="X4" s="3" t="s">
        <v>273</v>
      </c>
      <c r="Y4" s="3" t="s">
        <v>289</v>
      </c>
      <c r="Z4" s="3">
        <v>16</v>
      </c>
      <c r="AA4">
        <v>66.3</v>
      </c>
      <c r="AB4">
        <v>7.4</v>
      </c>
      <c r="AC4" s="3" t="s">
        <v>331</v>
      </c>
      <c r="AD4" s="3" t="s">
        <v>1271</v>
      </c>
      <c r="AE4" s="3" t="s">
        <v>1272</v>
      </c>
      <c r="AF4" s="3" t="s">
        <v>921</v>
      </c>
      <c r="AG4" s="3" t="s">
        <v>242</v>
      </c>
      <c r="AH4" s="3" t="s">
        <v>1432</v>
      </c>
      <c r="AI4" s="3" t="s">
        <v>910</v>
      </c>
      <c r="AJ4" s="3">
        <v>2400</v>
      </c>
      <c r="AK4" s="3">
        <v>25</v>
      </c>
      <c r="AL4" s="3">
        <v>210</v>
      </c>
      <c r="AM4" s="3">
        <f t="shared" ref="AM4:AM21" si="0">AJ4*AL4/60000</f>
        <v>8.4</v>
      </c>
      <c r="AN4" s="3" t="s">
        <v>353</v>
      </c>
      <c r="AO4" s="3">
        <v>3</v>
      </c>
      <c r="AP4" s="3" t="s">
        <v>271</v>
      </c>
      <c r="AQ4" s="3" t="s">
        <v>269</v>
      </c>
      <c r="AR4" s="3" t="s">
        <v>269</v>
      </c>
      <c r="AS4" s="3" t="s">
        <v>269</v>
      </c>
      <c r="AT4" s="3" t="s">
        <v>269</v>
      </c>
      <c r="AU4" s="3" t="s">
        <v>269</v>
      </c>
      <c r="AV4" s="3" t="s">
        <v>269</v>
      </c>
      <c r="AW4" s="3">
        <v>3</v>
      </c>
      <c r="AX4" s="3" t="s">
        <v>273</v>
      </c>
      <c r="AY4" s="3">
        <v>1.65</v>
      </c>
      <c r="AZ4" s="3" t="s">
        <v>273</v>
      </c>
      <c r="BA4" s="3" t="s">
        <v>273</v>
      </c>
      <c r="BB4" s="3" t="s">
        <v>273</v>
      </c>
      <c r="BC4" s="3" t="s">
        <v>273</v>
      </c>
      <c r="BD4" t="s">
        <v>273</v>
      </c>
      <c r="BE4" s="3" t="s">
        <v>270</v>
      </c>
      <c r="BF4" s="3" t="s">
        <v>273</v>
      </c>
      <c r="BG4" s="3" t="s">
        <v>273</v>
      </c>
      <c r="BH4" s="3" t="s">
        <v>273</v>
      </c>
      <c r="BI4" s="3" t="s">
        <v>273</v>
      </c>
      <c r="BJ4" s="3" t="s">
        <v>273</v>
      </c>
      <c r="BK4" s="3" t="s">
        <v>273</v>
      </c>
      <c r="BL4" s="3" t="s">
        <v>992</v>
      </c>
      <c r="BM4" s="3" t="s">
        <v>910</v>
      </c>
      <c r="BN4" s="3">
        <v>57</v>
      </c>
      <c r="BO4" s="3" t="s">
        <v>910</v>
      </c>
      <c r="BP4" s="3" t="s">
        <v>687</v>
      </c>
      <c r="BQ4" s="3" t="s">
        <v>243</v>
      </c>
      <c r="BR4" s="3">
        <v>44</v>
      </c>
      <c r="BS4" s="3">
        <v>2.4</v>
      </c>
      <c r="BT4" s="3" t="s">
        <v>1130</v>
      </c>
      <c r="BU4" s="3">
        <v>3</v>
      </c>
      <c r="BV4" s="3" t="s">
        <v>389</v>
      </c>
      <c r="BW4" s="3" t="s">
        <v>1468</v>
      </c>
      <c r="BX4" t="s">
        <v>273</v>
      </c>
      <c r="BY4" s="3" t="s">
        <v>346</v>
      </c>
      <c r="BZ4" t="s">
        <v>736</v>
      </c>
      <c r="CA4" t="s">
        <v>1480</v>
      </c>
      <c r="CB4" t="s">
        <v>1180</v>
      </c>
      <c r="CC4" t="s">
        <v>1211</v>
      </c>
      <c r="CD4" t="s">
        <v>1218</v>
      </c>
      <c r="CE4" t="s">
        <v>1201</v>
      </c>
      <c r="CF4" t="s">
        <v>1219</v>
      </c>
      <c r="CG4" t="s">
        <v>1242</v>
      </c>
      <c r="CH4" t="s">
        <v>1039</v>
      </c>
      <c r="CI4" s="21"/>
      <c r="CK4"/>
      <c r="CN4"/>
      <c r="CO4"/>
      <c r="CP4"/>
      <c r="CQ4"/>
      <c r="CT4"/>
      <c r="CU4"/>
      <c r="CV4"/>
      <c r="CX4"/>
      <c r="CY4"/>
      <c r="CZ4"/>
      <c r="DA4"/>
      <c r="DB4"/>
      <c r="DC4" s="4"/>
      <c r="DD4"/>
      <c r="DE4"/>
      <c r="DF4"/>
      <c r="DG4" s="33"/>
    </row>
    <row r="5" spans="1:111" s="3" customFormat="1">
      <c r="A5" s="3" t="s">
        <v>63</v>
      </c>
      <c r="B5" s="3" t="s">
        <v>1321</v>
      </c>
      <c r="C5" s="3">
        <v>2024</v>
      </c>
      <c r="D5" t="s">
        <v>1358</v>
      </c>
      <c r="E5" s="3" t="s">
        <v>66</v>
      </c>
      <c r="F5" s="3">
        <v>52</v>
      </c>
      <c r="G5" s="3">
        <v>50</v>
      </c>
      <c r="H5" s="3">
        <v>85</v>
      </c>
      <c r="I5" t="s">
        <v>273</v>
      </c>
      <c r="J5" t="s">
        <v>273</v>
      </c>
      <c r="K5" t="s">
        <v>273</v>
      </c>
      <c r="L5" t="s">
        <v>273</v>
      </c>
      <c r="M5" t="s">
        <v>273</v>
      </c>
      <c r="N5" t="s">
        <v>273</v>
      </c>
      <c r="O5" t="s">
        <v>273</v>
      </c>
      <c r="P5" t="s">
        <v>273</v>
      </c>
      <c r="Q5">
        <v>25</v>
      </c>
      <c r="R5">
        <v>11.5</v>
      </c>
      <c r="S5" t="s">
        <v>273</v>
      </c>
      <c r="T5" t="s">
        <v>273</v>
      </c>
      <c r="U5" t="s">
        <v>273</v>
      </c>
      <c r="V5" t="s">
        <v>273</v>
      </c>
      <c r="W5" t="s">
        <v>273</v>
      </c>
      <c r="X5" t="s">
        <v>273</v>
      </c>
      <c r="Y5" s="3" t="s">
        <v>289</v>
      </c>
      <c r="Z5" s="3">
        <v>17</v>
      </c>
      <c r="AA5">
        <v>65.099999999999994</v>
      </c>
      <c r="AB5">
        <v>7.1</v>
      </c>
      <c r="AC5" s="3" t="s">
        <v>331</v>
      </c>
      <c r="AD5" s="3" t="s">
        <v>1271</v>
      </c>
      <c r="AE5" s="3" t="s">
        <v>1272</v>
      </c>
      <c r="AF5" s="3" t="s">
        <v>272</v>
      </c>
      <c r="AG5" t="s">
        <v>1409</v>
      </c>
      <c r="AH5" s="3" t="s">
        <v>1432</v>
      </c>
      <c r="AI5" s="3" t="s">
        <v>910</v>
      </c>
      <c r="AJ5" s="3">
        <v>776</v>
      </c>
      <c r="AK5" s="3">
        <v>37.4</v>
      </c>
      <c r="AL5" s="3">
        <v>617</v>
      </c>
      <c r="AM5" s="3">
        <f t="shared" si="0"/>
        <v>7.9798666666666671</v>
      </c>
      <c r="AN5" s="3" t="s">
        <v>264</v>
      </c>
      <c r="AO5" s="3">
        <v>3</v>
      </c>
      <c r="AP5" s="3" t="s">
        <v>271</v>
      </c>
      <c r="AQ5" s="3" t="s">
        <v>269</v>
      </c>
      <c r="AR5" s="3" t="s">
        <v>269</v>
      </c>
      <c r="AS5" s="3" t="s">
        <v>269</v>
      </c>
      <c r="AT5" s="3" t="s">
        <v>269</v>
      </c>
      <c r="AU5" s="3" t="s">
        <v>269</v>
      </c>
      <c r="AV5" s="3" t="s">
        <v>269</v>
      </c>
      <c r="AW5" s="3">
        <v>3</v>
      </c>
      <c r="AX5" s="3" t="s">
        <v>273</v>
      </c>
      <c r="AY5" s="3">
        <v>1</v>
      </c>
      <c r="AZ5" s="3" t="s">
        <v>273</v>
      </c>
      <c r="BA5" s="3" t="s">
        <v>273</v>
      </c>
      <c r="BB5" s="3" t="s">
        <v>273</v>
      </c>
      <c r="BC5" s="3" t="s">
        <v>273</v>
      </c>
      <c r="BD5" t="s">
        <v>273</v>
      </c>
      <c r="BE5" s="3" t="s">
        <v>270</v>
      </c>
      <c r="BF5" s="3" t="s">
        <v>273</v>
      </c>
      <c r="BG5" s="3" t="s">
        <v>273</v>
      </c>
      <c r="BH5" s="3" t="s">
        <v>273</v>
      </c>
      <c r="BI5" s="3" t="s">
        <v>273</v>
      </c>
      <c r="BJ5" s="3" t="s">
        <v>273</v>
      </c>
      <c r="BK5" s="3" t="s">
        <v>273</v>
      </c>
      <c r="BL5" s="3" t="s">
        <v>992</v>
      </c>
      <c r="BM5" s="3" t="s">
        <v>910</v>
      </c>
      <c r="BN5" s="3">
        <v>57</v>
      </c>
      <c r="BO5" s="3" t="s">
        <v>910</v>
      </c>
      <c r="BP5" s="3" t="s">
        <v>687</v>
      </c>
      <c r="BQ5" s="3" t="s">
        <v>243</v>
      </c>
      <c r="BR5" s="3">
        <v>44</v>
      </c>
      <c r="BS5" s="3">
        <v>0.77600000000000002</v>
      </c>
      <c r="BT5" s="3" t="s">
        <v>1130</v>
      </c>
      <c r="BU5" s="3">
        <v>3</v>
      </c>
      <c r="BV5" s="3" t="s">
        <v>389</v>
      </c>
      <c r="BW5" s="3" t="s">
        <v>1468</v>
      </c>
      <c r="BX5" t="s">
        <v>273</v>
      </c>
      <c r="BY5" s="3" t="s">
        <v>285</v>
      </c>
      <c r="BZ5" t="s">
        <v>736</v>
      </c>
      <c r="CA5" t="s">
        <v>1480</v>
      </c>
      <c r="CB5" t="s">
        <v>1180</v>
      </c>
      <c r="CC5" t="s">
        <v>1211</v>
      </c>
      <c r="CD5" t="s">
        <v>1218</v>
      </c>
      <c r="CE5" t="s">
        <v>1201</v>
      </c>
      <c r="CF5" t="s">
        <v>1219</v>
      </c>
      <c r="CG5" t="s">
        <v>1242</v>
      </c>
      <c r="CH5" t="s">
        <v>1039</v>
      </c>
      <c r="CI5" s="21"/>
      <c r="CK5"/>
      <c r="CN5"/>
      <c r="CO5"/>
      <c r="CP5"/>
      <c r="CQ5"/>
      <c r="CS5"/>
      <c r="CT5"/>
      <c r="CU5"/>
      <c r="CV5"/>
      <c r="CX5"/>
      <c r="CY5"/>
      <c r="CZ5"/>
      <c r="DA5"/>
      <c r="DB5"/>
      <c r="DC5" s="4"/>
      <c r="DD5"/>
      <c r="DE5"/>
      <c r="DF5"/>
      <c r="DG5" s="33"/>
    </row>
    <row r="6" spans="1:111">
      <c r="A6" t="s">
        <v>67</v>
      </c>
      <c r="B6" t="s">
        <v>1322</v>
      </c>
      <c r="C6">
        <v>2023</v>
      </c>
      <c r="D6" s="3" t="s">
        <v>1359</v>
      </c>
      <c r="E6" t="s">
        <v>70</v>
      </c>
      <c r="F6">
        <v>40</v>
      </c>
      <c r="G6" t="s">
        <v>273</v>
      </c>
      <c r="H6" t="s">
        <v>273</v>
      </c>
      <c r="I6">
        <v>63.3</v>
      </c>
      <c r="J6">
        <v>3.2</v>
      </c>
      <c r="K6" t="s">
        <v>273</v>
      </c>
      <c r="L6" t="s">
        <v>273</v>
      </c>
      <c r="M6" t="s">
        <v>273</v>
      </c>
      <c r="N6" t="s">
        <v>273</v>
      </c>
      <c r="O6">
        <v>44.7</v>
      </c>
      <c r="P6">
        <v>17.399999999999999</v>
      </c>
      <c r="Q6" t="s">
        <v>273</v>
      </c>
      <c r="R6" t="s">
        <v>273</v>
      </c>
      <c r="S6" t="s">
        <v>273</v>
      </c>
      <c r="T6" t="s">
        <v>273</v>
      </c>
      <c r="U6">
        <v>2</v>
      </c>
      <c r="V6" t="s">
        <v>273</v>
      </c>
      <c r="W6">
        <v>1</v>
      </c>
      <c r="X6">
        <v>3</v>
      </c>
      <c r="Y6" t="s">
        <v>289</v>
      </c>
      <c r="Z6" t="s">
        <v>736</v>
      </c>
      <c r="AA6" t="s">
        <v>273</v>
      </c>
      <c r="AB6" t="s">
        <v>273</v>
      </c>
      <c r="AC6" t="s">
        <v>331</v>
      </c>
      <c r="AD6" t="s">
        <v>1273</v>
      </c>
      <c r="AE6" t="s">
        <v>1107</v>
      </c>
      <c r="AF6" t="s">
        <v>921</v>
      </c>
      <c r="AG6" t="s">
        <v>1410</v>
      </c>
      <c r="AH6" t="s">
        <v>1432</v>
      </c>
      <c r="AI6" t="s">
        <v>910</v>
      </c>
      <c r="AJ6">
        <v>859</v>
      </c>
      <c r="AK6">
        <v>34</v>
      </c>
      <c r="AL6">
        <v>700</v>
      </c>
      <c r="AM6">
        <f t="shared" si="0"/>
        <v>10.021666666666667</v>
      </c>
      <c r="AN6" t="s">
        <v>274</v>
      </c>
      <c r="AO6">
        <v>3</v>
      </c>
      <c r="AP6" t="s">
        <v>273</v>
      </c>
      <c r="AQ6" t="s">
        <v>269</v>
      </c>
      <c r="AR6" t="s">
        <v>1444</v>
      </c>
      <c r="AS6" t="s">
        <v>269</v>
      </c>
      <c r="AT6" t="s">
        <v>269</v>
      </c>
      <c r="AU6" t="s">
        <v>269</v>
      </c>
      <c r="AV6" t="s">
        <v>269</v>
      </c>
      <c r="AW6">
        <v>3</v>
      </c>
      <c r="AX6" t="s">
        <v>273</v>
      </c>
      <c r="AY6">
        <v>2.2000000000000002</v>
      </c>
      <c r="AZ6" t="s">
        <v>273</v>
      </c>
      <c r="BA6" t="s">
        <v>273</v>
      </c>
      <c r="BB6" t="s">
        <v>273</v>
      </c>
      <c r="BC6" t="s">
        <v>273</v>
      </c>
      <c r="BD6" t="s">
        <v>273</v>
      </c>
      <c r="BE6" t="s">
        <v>277</v>
      </c>
      <c r="BF6" t="s">
        <v>1464</v>
      </c>
      <c r="BG6">
        <v>2E-3</v>
      </c>
      <c r="BH6">
        <v>0.125</v>
      </c>
      <c r="BI6" t="s">
        <v>273</v>
      </c>
      <c r="BJ6" t="s">
        <v>273</v>
      </c>
      <c r="BK6" t="s">
        <v>273</v>
      </c>
      <c r="BL6" s="3" t="s">
        <v>992</v>
      </c>
      <c r="BM6" s="3" t="s">
        <v>910</v>
      </c>
      <c r="BN6">
        <v>375</v>
      </c>
      <c r="BO6" s="3" t="s">
        <v>910</v>
      </c>
      <c r="BP6" s="3" t="s">
        <v>1115</v>
      </c>
      <c r="BQ6" t="s">
        <v>281</v>
      </c>
      <c r="BR6">
        <v>21</v>
      </c>
      <c r="BS6" t="s">
        <v>910</v>
      </c>
      <c r="BT6" t="s">
        <v>281</v>
      </c>
      <c r="BU6">
        <v>3</v>
      </c>
      <c r="BV6" t="s">
        <v>389</v>
      </c>
      <c r="BW6" t="s">
        <v>910</v>
      </c>
      <c r="BX6" t="s">
        <v>1469</v>
      </c>
      <c r="BY6" t="s">
        <v>284</v>
      </c>
      <c r="BZ6" t="s">
        <v>736</v>
      </c>
      <c r="CA6" t="s">
        <v>1176</v>
      </c>
      <c r="CB6" t="s">
        <v>1181</v>
      </c>
      <c r="CC6" t="s">
        <v>1211</v>
      </c>
      <c r="CD6" t="s">
        <v>1220</v>
      </c>
      <c r="CE6" t="s">
        <v>1211</v>
      </c>
      <c r="CF6" t="s">
        <v>1211</v>
      </c>
      <c r="CG6" t="s">
        <v>1243</v>
      </c>
      <c r="CH6" t="s">
        <v>1147</v>
      </c>
      <c r="DD6" s="6"/>
      <c r="DF6" s="9"/>
      <c r="DG6" s="33"/>
    </row>
    <row r="7" spans="1:111" s="3" customFormat="1">
      <c r="A7" s="3" t="s">
        <v>71</v>
      </c>
      <c r="B7" s="3" t="s">
        <v>1323</v>
      </c>
      <c r="C7" s="3">
        <v>2024</v>
      </c>
      <c r="D7" t="s">
        <v>1360</v>
      </c>
      <c r="E7" s="3" t="s">
        <v>74</v>
      </c>
      <c r="F7" s="3">
        <v>21</v>
      </c>
      <c r="G7" s="3" t="s">
        <v>273</v>
      </c>
      <c r="H7" s="3" t="s">
        <v>273</v>
      </c>
      <c r="I7" s="3">
        <v>59.43</v>
      </c>
      <c r="J7" s="3">
        <v>4.71</v>
      </c>
      <c r="K7" s="3">
        <v>16.670000000000002</v>
      </c>
      <c r="L7" s="3">
        <v>9.16</v>
      </c>
      <c r="M7" s="3" t="s">
        <v>273</v>
      </c>
      <c r="N7" s="3" t="s">
        <v>273</v>
      </c>
      <c r="O7" s="3">
        <v>29.48</v>
      </c>
      <c r="P7" s="3">
        <v>16.62</v>
      </c>
      <c r="Q7" s="3" t="s">
        <v>273</v>
      </c>
      <c r="R7" s="3" t="s">
        <v>273</v>
      </c>
      <c r="S7" s="3">
        <v>2.76</v>
      </c>
      <c r="T7" s="3">
        <v>0.98</v>
      </c>
      <c r="U7" s="3" t="s">
        <v>273</v>
      </c>
      <c r="V7" s="3" t="s">
        <v>273</v>
      </c>
      <c r="W7" s="3" t="s">
        <v>273</v>
      </c>
      <c r="X7" s="3" t="s">
        <v>273</v>
      </c>
      <c r="Y7" s="3" t="s">
        <v>290</v>
      </c>
      <c r="Z7" s="3">
        <v>29</v>
      </c>
      <c r="AA7" s="3">
        <v>59.45</v>
      </c>
      <c r="AB7" s="3">
        <v>4.76</v>
      </c>
      <c r="AC7" s="3" t="s">
        <v>331</v>
      </c>
      <c r="AD7" s="3" t="s">
        <v>1273</v>
      </c>
      <c r="AE7" s="3" t="s">
        <v>1107</v>
      </c>
      <c r="AF7" s="3" t="s">
        <v>272</v>
      </c>
      <c r="AG7" s="3" t="s">
        <v>924</v>
      </c>
      <c r="AH7" s="3" t="s">
        <v>1432</v>
      </c>
      <c r="AI7" s="3" t="s">
        <v>910</v>
      </c>
      <c r="AJ7" s="3">
        <v>2000</v>
      </c>
      <c r="AK7" s="3">
        <v>30</v>
      </c>
      <c r="AL7" s="3">
        <v>240</v>
      </c>
      <c r="AM7" s="3">
        <f t="shared" si="0"/>
        <v>8</v>
      </c>
      <c r="AN7" s="3" t="s">
        <v>263</v>
      </c>
      <c r="AO7" s="3">
        <v>3</v>
      </c>
      <c r="AP7" s="3" t="s">
        <v>428</v>
      </c>
      <c r="AQ7" s="3" t="s">
        <v>1444</v>
      </c>
      <c r="AR7" s="3" t="s">
        <v>269</v>
      </c>
      <c r="AS7" s="3" t="s">
        <v>269</v>
      </c>
      <c r="AT7" s="3" t="s">
        <v>1444</v>
      </c>
      <c r="AU7" s="3" t="s">
        <v>269</v>
      </c>
      <c r="AV7" s="3" t="s">
        <v>269</v>
      </c>
      <c r="AW7" s="3">
        <v>3</v>
      </c>
      <c r="AX7" s="3" t="s">
        <v>273</v>
      </c>
      <c r="AY7" s="3" t="s">
        <v>273</v>
      </c>
      <c r="AZ7" s="3">
        <v>3</v>
      </c>
      <c r="BA7" s="3">
        <v>3</v>
      </c>
      <c r="BB7" s="3" t="s">
        <v>273</v>
      </c>
      <c r="BC7" s="3" t="s">
        <v>273</v>
      </c>
      <c r="BD7" t="s">
        <v>273</v>
      </c>
      <c r="BE7" s="3" t="s">
        <v>270</v>
      </c>
      <c r="BF7" s="3" t="s">
        <v>1464</v>
      </c>
      <c r="BG7" s="3">
        <v>0.01</v>
      </c>
      <c r="BH7" s="3">
        <v>0.08</v>
      </c>
      <c r="BI7" s="3" t="s">
        <v>273</v>
      </c>
      <c r="BJ7" s="3" t="s">
        <v>273</v>
      </c>
      <c r="BK7" s="3" t="s">
        <v>273</v>
      </c>
      <c r="BL7" t="s">
        <v>1073</v>
      </c>
      <c r="BM7">
        <v>3</v>
      </c>
      <c r="BN7" s="3">
        <v>15</v>
      </c>
      <c r="BO7" t="s">
        <v>1538</v>
      </c>
      <c r="BP7" s="3" t="s">
        <v>687</v>
      </c>
      <c r="BQ7" s="3" t="s">
        <v>243</v>
      </c>
      <c r="BR7" s="3">
        <v>44</v>
      </c>
      <c r="BS7" s="3">
        <v>2</v>
      </c>
      <c r="BT7" s="3" t="s">
        <v>1130</v>
      </c>
      <c r="BU7" s="3">
        <v>4</v>
      </c>
      <c r="BV7" s="3" t="s">
        <v>389</v>
      </c>
      <c r="BW7" s="3" t="s">
        <v>1468</v>
      </c>
      <c r="BX7" t="s">
        <v>273</v>
      </c>
      <c r="BY7" s="3" t="s">
        <v>285</v>
      </c>
      <c r="BZ7" t="s">
        <v>736</v>
      </c>
      <c r="CA7" t="s">
        <v>1481</v>
      </c>
      <c r="CB7" t="s">
        <v>1211</v>
      </c>
      <c r="CC7" t="s">
        <v>1221</v>
      </c>
      <c r="CD7" t="s">
        <v>1218</v>
      </c>
      <c r="CE7" t="s">
        <v>1202</v>
      </c>
      <c r="CF7" t="s">
        <v>1219</v>
      </c>
      <c r="CG7" t="s">
        <v>1244</v>
      </c>
      <c r="CH7" t="s">
        <v>1148</v>
      </c>
      <c r="CI7" s="21"/>
      <c r="CK7"/>
      <c r="CP7"/>
      <c r="CQ7"/>
      <c r="CT7"/>
      <c r="CU7"/>
      <c r="CV7"/>
      <c r="CW7"/>
      <c r="CX7"/>
      <c r="CY7"/>
      <c r="CZ7"/>
      <c r="DA7"/>
      <c r="DB7"/>
      <c r="DC7" s="4"/>
      <c r="DD7"/>
      <c r="DE7"/>
      <c r="DF7"/>
      <c r="DG7" s="33"/>
    </row>
    <row r="8" spans="1:111">
      <c r="A8" t="s">
        <v>75</v>
      </c>
      <c r="B8" t="s">
        <v>1324</v>
      </c>
      <c r="C8">
        <v>2023</v>
      </c>
      <c r="D8" t="s">
        <v>1361</v>
      </c>
      <c r="E8" t="s">
        <v>78</v>
      </c>
      <c r="F8">
        <v>41</v>
      </c>
      <c r="G8" t="s">
        <v>273</v>
      </c>
      <c r="H8" t="s">
        <v>273</v>
      </c>
      <c r="I8">
        <v>61.83</v>
      </c>
      <c r="J8">
        <v>9.2899999999999991</v>
      </c>
      <c r="K8">
        <v>21.27</v>
      </c>
      <c r="L8">
        <v>9.27</v>
      </c>
      <c r="M8" t="s">
        <v>273</v>
      </c>
      <c r="N8" t="s">
        <v>273</v>
      </c>
      <c r="O8">
        <v>37.07</v>
      </c>
      <c r="P8">
        <v>14.5</v>
      </c>
      <c r="Q8" t="s">
        <v>273</v>
      </c>
      <c r="R8" t="s">
        <v>273</v>
      </c>
      <c r="S8">
        <v>2.52</v>
      </c>
      <c r="T8">
        <v>0.51</v>
      </c>
      <c r="U8" t="s">
        <v>273</v>
      </c>
      <c r="V8" t="s">
        <v>273</v>
      </c>
      <c r="W8" t="s">
        <v>273</v>
      </c>
      <c r="X8" t="s">
        <v>273</v>
      </c>
      <c r="Y8" t="s">
        <v>302</v>
      </c>
      <c r="Z8" t="s">
        <v>736</v>
      </c>
      <c r="AA8" t="s">
        <v>273</v>
      </c>
      <c r="AB8" t="s">
        <v>273</v>
      </c>
      <c r="AC8" t="s">
        <v>527</v>
      </c>
      <c r="AD8" t="s">
        <v>1270</v>
      </c>
      <c r="AE8" t="s">
        <v>1275</v>
      </c>
      <c r="AF8" t="s">
        <v>272</v>
      </c>
      <c r="AG8" t="s">
        <v>924</v>
      </c>
      <c r="AH8" t="s">
        <v>1432</v>
      </c>
      <c r="AI8" t="s">
        <v>910</v>
      </c>
      <c r="AJ8">
        <v>2000</v>
      </c>
      <c r="AK8">
        <v>21</v>
      </c>
      <c r="AL8">
        <v>240</v>
      </c>
      <c r="AM8">
        <f t="shared" si="0"/>
        <v>8</v>
      </c>
      <c r="AN8" t="s">
        <v>265</v>
      </c>
      <c r="AO8">
        <v>3</v>
      </c>
      <c r="AP8" t="s">
        <v>271</v>
      </c>
      <c r="AQ8" t="s">
        <v>269</v>
      </c>
      <c r="AR8" t="s">
        <v>269</v>
      </c>
      <c r="AS8" t="s">
        <v>269</v>
      </c>
      <c r="AT8" t="s">
        <v>1444</v>
      </c>
      <c r="AU8" t="s">
        <v>269</v>
      </c>
      <c r="AV8" t="s">
        <v>269</v>
      </c>
      <c r="AW8">
        <v>3</v>
      </c>
      <c r="AX8">
        <v>0.5</v>
      </c>
      <c r="AY8" t="s">
        <v>273</v>
      </c>
      <c r="AZ8">
        <v>3</v>
      </c>
      <c r="BA8">
        <v>3</v>
      </c>
      <c r="BB8" t="s">
        <v>273</v>
      </c>
      <c r="BC8" t="s">
        <v>273</v>
      </c>
      <c r="BD8" t="s">
        <v>273</v>
      </c>
      <c r="BE8" t="s">
        <v>273</v>
      </c>
      <c r="BF8" t="s">
        <v>1465</v>
      </c>
      <c r="BG8" t="s">
        <v>273</v>
      </c>
      <c r="BH8">
        <v>0.1</v>
      </c>
      <c r="BI8" t="s">
        <v>273</v>
      </c>
      <c r="BJ8" t="s">
        <v>273</v>
      </c>
      <c r="BK8" t="s">
        <v>273</v>
      </c>
      <c r="BL8" t="s">
        <v>1073</v>
      </c>
      <c r="BM8">
        <v>7</v>
      </c>
      <c r="BN8">
        <v>22</v>
      </c>
      <c r="BO8" t="s">
        <v>1539</v>
      </c>
      <c r="BP8" s="3" t="s">
        <v>687</v>
      </c>
      <c r="BQ8" s="3" t="s">
        <v>243</v>
      </c>
      <c r="BR8">
        <v>60</v>
      </c>
      <c r="BS8">
        <v>2</v>
      </c>
      <c r="BT8" s="3" t="s">
        <v>1130</v>
      </c>
      <c r="BU8">
        <v>5</v>
      </c>
      <c r="BV8" t="s">
        <v>389</v>
      </c>
      <c r="BW8" s="3" t="s">
        <v>1468</v>
      </c>
      <c r="BX8" t="s">
        <v>273</v>
      </c>
      <c r="BY8" t="s">
        <v>285</v>
      </c>
      <c r="BZ8" t="s">
        <v>736</v>
      </c>
      <c r="CA8" t="s">
        <v>1482</v>
      </c>
      <c r="CB8" t="s">
        <v>1182</v>
      </c>
      <c r="CC8" t="s">
        <v>1211</v>
      </c>
      <c r="CD8" t="s">
        <v>1220</v>
      </c>
      <c r="CE8" t="s">
        <v>1211</v>
      </c>
      <c r="CF8" t="s">
        <v>1211</v>
      </c>
      <c r="CG8" t="s">
        <v>1245</v>
      </c>
      <c r="CH8" t="s">
        <v>1149</v>
      </c>
      <c r="DD8" s="6"/>
      <c r="DE8" s="6"/>
      <c r="DF8" s="6"/>
      <c r="DG8" s="33"/>
    </row>
    <row r="9" spans="1:111">
      <c r="A9" t="s">
        <v>75</v>
      </c>
      <c r="B9" t="s">
        <v>1324</v>
      </c>
      <c r="C9">
        <v>2023</v>
      </c>
      <c r="D9" s="3" t="s">
        <v>1361</v>
      </c>
      <c r="E9" t="s">
        <v>78</v>
      </c>
      <c r="F9">
        <v>34</v>
      </c>
      <c r="G9" t="s">
        <v>273</v>
      </c>
      <c r="H9" t="s">
        <v>273</v>
      </c>
      <c r="I9">
        <v>60.53</v>
      </c>
      <c r="J9">
        <v>7.99</v>
      </c>
      <c r="K9">
        <v>17.41</v>
      </c>
      <c r="L9">
        <v>12.84</v>
      </c>
      <c r="M9" t="s">
        <v>273</v>
      </c>
      <c r="N9" t="s">
        <v>273</v>
      </c>
      <c r="O9">
        <v>31.15</v>
      </c>
      <c r="P9">
        <v>15.86</v>
      </c>
      <c r="Q9" t="s">
        <v>273</v>
      </c>
      <c r="R9" t="s">
        <v>273</v>
      </c>
      <c r="S9">
        <v>2.34</v>
      </c>
      <c r="T9">
        <v>0.56000000000000005</v>
      </c>
      <c r="U9" t="s">
        <v>273</v>
      </c>
      <c r="V9" t="s">
        <v>273</v>
      </c>
      <c r="W9" t="s">
        <v>273</v>
      </c>
      <c r="X9" t="s">
        <v>273</v>
      </c>
      <c r="Y9" t="s">
        <v>302</v>
      </c>
      <c r="Z9" t="s">
        <v>736</v>
      </c>
      <c r="AA9" t="s">
        <v>273</v>
      </c>
      <c r="AB9" t="s">
        <v>273</v>
      </c>
      <c r="AC9" t="s">
        <v>527</v>
      </c>
      <c r="AD9" t="s">
        <v>1270</v>
      </c>
      <c r="AE9" t="s">
        <v>1275</v>
      </c>
      <c r="AF9" t="s">
        <v>272</v>
      </c>
      <c r="AG9" t="s">
        <v>924</v>
      </c>
      <c r="AH9" t="s">
        <v>1432</v>
      </c>
      <c r="AI9" t="s">
        <v>910</v>
      </c>
      <c r="AJ9">
        <v>2000</v>
      </c>
      <c r="AK9">
        <v>21</v>
      </c>
      <c r="AL9">
        <v>240</v>
      </c>
      <c r="AM9">
        <f t="shared" ref="AM9" si="1">AJ9*AL9/60000</f>
        <v>8</v>
      </c>
      <c r="AN9" t="s">
        <v>265</v>
      </c>
      <c r="AO9">
        <v>3</v>
      </c>
      <c r="AP9" t="s">
        <v>271</v>
      </c>
      <c r="AQ9" t="s">
        <v>269</v>
      </c>
      <c r="AR9" t="s">
        <v>269</v>
      </c>
      <c r="AS9" t="s">
        <v>269</v>
      </c>
      <c r="AT9" t="s">
        <v>1444</v>
      </c>
      <c r="AU9" t="s">
        <v>269</v>
      </c>
      <c r="AV9" t="s">
        <v>269</v>
      </c>
      <c r="AW9">
        <v>3</v>
      </c>
      <c r="AX9">
        <v>0.5</v>
      </c>
      <c r="AY9" t="s">
        <v>273</v>
      </c>
      <c r="AZ9">
        <v>3</v>
      </c>
      <c r="BA9">
        <v>3</v>
      </c>
      <c r="BB9" t="s">
        <v>273</v>
      </c>
      <c r="BC9" t="s">
        <v>273</v>
      </c>
      <c r="BD9" t="s">
        <v>273</v>
      </c>
      <c r="BE9" t="s">
        <v>273</v>
      </c>
      <c r="BF9" t="s">
        <v>1465</v>
      </c>
      <c r="BG9" t="s">
        <v>273</v>
      </c>
      <c r="BH9">
        <v>0.1</v>
      </c>
      <c r="BI9" t="s">
        <v>273</v>
      </c>
      <c r="BJ9" t="s">
        <v>273</v>
      </c>
      <c r="BK9" t="s">
        <v>273</v>
      </c>
      <c r="BL9" t="s">
        <v>1073</v>
      </c>
      <c r="BM9">
        <v>7</v>
      </c>
      <c r="BN9">
        <v>22</v>
      </c>
      <c r="BO9" t="s">
        <v>1539</v>
      </c>
      <c r="BP9" s="3" t="s">
        <v>687</v>
      </c>
      <c r="BQ9" s="3" t="s">
        <v>243</v>
      </c>
      <c r="BR9">
        <v>60</v>
      </c>
      <c r="BS9">
        <v>2</v>
      </c>
      <c r="BT9" s="3" t="s">
        <v>1130</v>
      </c>
      <c r="BU9">
        <v>5</v>
      </c>
      <c r="BV9" t="s">
        <v>389</v>
      </c>
      <c r="BW9" s="3" t="s">
        <v>1468</v>
      </c>
      <c r="BX9" t="s">
        <v>273</v>
      </c>
      <c r="BY9" t="s">
        <v>285</v>
      </c>
      <c r="BZ9" t="s">
        <v>736</v>
      </c>
      <c r="CA9" t="s">
        <v>1482</v>
      </c>
      <c r="CB9" t="s">
        <v>1182</v>
      </c>
      <c r="CC9" t="s">
        <v>1211</v>
      </c>
      <c r="CD9" t="s">
        <v>1220</v>
      </c>
      <c r="CE9" t="s">
        <v>1211</v>
      </c>
      <c r="CF9" t="s">
        <v>1211</v>
      </c>
      <c r="CG9" t="s">
        <v>1245</v>
      </c>
      <c r="CH9" t="s">
        <v>1149</v>
      </c>
      <c r="DD9" s="6"/>
      <c r="DG9" s="33"/>
    </row>
    <row r="10" spans="1:111" s="3" customFormat="1">
      <c r="A10" s="3" t="s">
        <v>79</v>
      </c>
      <c r="B10" s="3" t="s">
        <v>1325</v>
      </c>
      <c r="C10" s="3">
        <v>2021</v>
      </c>
      <c r="D10" s="3" t="s">
        <v>1362</v>
      </c>
      <c r="E10" s="3" t="s">
        <v>82</v>
      </c>
      <c r="F10" s="3">
        <v>21</v>
      </c>
      <c r="G10" s="3" t="s">
        <v>273</v>
      </c>
      <c r="H10" s="3" t="s">
        <v>273</v>
      </c>
      <c r="I10" s="3">
        <v>59.33</v>
      </c>
      <c r="J10" s="3">
        <v>5.73</v>
      </c>
      <c r="K10" s="3" t="s">
        <v>273</v>
      </c>
      <c r="L10" s="3" t="s">
        <v>273</v>
      </c>
      <c r="M10" s="3" t="s">
        <v>273</v>
      </c>
      <c r="N10" s="3" t="s">
        <v>273</v>
      </c>
      <c r="O10" s="3">
        <v>28.57</v>
      </c>
      <c r="P10" s="3">
        <v>8.9700000000000006</v>
      </c>
      <c r="Q10" s="3" t="s">
        <v>273</v>
      </c>
      <c r="R10" s="3" t="s">
        <v>273</v>
      </c>
      <c r="S10" s="3" t="s">
        <v>273</v>
      </c>
      <c r="T10" s="3" t="s">
        <v>273</v>
      </c>
      <c r="U10" s="3">
        <v>2</v>
      </c>
      <c r="V10" s="3" t="s">
        <v>1521</v>
      </c>
      <c r="W10" s="3" t="s">
        <v>273</v>
      </c>
      <c r="X10" s="3" t="s">
        <v>273</v>
      </c>
      <c r="Y10" s="3" t="s">
        <v>289</v>
      </c>
      <c r="Z10" s="3">
        <v>43</v>
      </c>
      <c r="AA10" s="3">
        <v>59.44</v>
      </c>
      <c r="AB10" s="3">
        <v>8.4</v>
      </c>
      <c r="AC10" s="3" t="s">
        <v>331</v>
      </c>
      <c r="AD10" s="3" t="s">
        <v>1274</v>
      </c>
      <c r="AE10" s="3" t="s">
        <v>1276</v>
      </c>
      <c r="AF10" s="3" t="s">
        <v>272</v>
      </c>
      <c r="AG10" s="3" t="s">
        <v>924</v>
      </c>
      <c r="AH10" s="3" t="s">
        <v>1432</v>
      </c>
      <c r="AI10" s="3" t="s">
        <v>910</v>
      </c>
      <c r="AJ10" s="3">
        <v>2000</v>
      </c>
      <c r="AK10" s="3">
        <v>30</v>
      </c>
      <c r="AL10" s="3">
        <v>240</v>
      </c>
      <c r="AM10" s="3">
        <f t="shared" si="0"/>
        <v>8</v>
      </c>
      <c r="AN10" s="3" t="s">
        <v>263</v>
      </c>
      <c r="AO10" s="3">
        <v>3</v>
      </c>
      <c r="AP10" s="3" t="s">
        <v>1445</v>
      </c>
      <c r="AQ10" s="3" t="s">
        <v>269</v>
      </c>
      <c r="AR10" s="3" t="s">
        <v>269</v>
      </c>
      <c r="AS10" s="3" t="s">
        <v>269</v>
      </c>
      <c r="AT10" s="3" t="s">
        <v>1444</v>
      </c>
      <c r="AU10" s="3" t="s">
        <v>1444</v>
      </c>
      <c r="AV10" s="3" t="s">
        <v>269</v>
      </c>
      <c r="AW10" s="3">
        <v>3</v>
      </c>
      <c r="AX10" s="3">
        <v>0.5</v>
      </c>
      <c r="AY10" s="3" t="s">
        <v>273</v>
      </c>
      <c r="AZ10" s="3">
        <v>3</v>
      </c>
      <c r="BA10" s="3">
        <v>3</v>
      </c>
      <c r="BB10" s="3" t="s">
        <v>273</v>
      </c>
      <c r="BC10" s="3" t="s">
        <v>273</v>
      </c>
      <c r="BD10" t="s">
        <v>273</v>
      </c>
      <c r="BE10" s="3" t="s">
        <v>266</v>
      </c>
      <c r="BF10" s="3" t="s">
        <v>1465</v>
      </c>
      <c r="BG10" s="3" t="s">
        <v>273</v>
      </c>
      <c r="BH10" s="3">
        <v>0.15</v>
      </c>
      <c r="BI10" s="3" t="s">
        <v>273</v>
      </c>
      <c r="BJ10" s="3" t="s">
        <v>273</v>
      </c>
      <c r="BK10" s="3" t="s">
        <v>273</v>
      </c>
      <c r="BL10" t="s">
        <v>1073</v>
      </c>
      <c r="BM10">
        <v>6</v>
      </c>
      <c r="BN10" s="3">
        <v>22</v>
      </c>
      <c r="BO10" t="s">
        <v>1540</v>
      </c>
      <c r="BP10" s="3" t="s">
        <v>687</v>
      </c>
      <c r="BQ10" s="3" t="s">
        <v>243</v>
      </c>
      <c r="BR10" s="3">
        <v>44</v>
      </c>
      <c r="BS10" s="3">
        <v>2</v>
      </c>
      <c r="BT10" s="3" t="s">
        <v>1130</v>
      </c>
      <c r="BU10" s="3">
        <v>4</v>
      </c>
      <c r="BV10" s="3" t="s">
        <v>389</v>
      </c>
      <c r="BW10" s="3" t="s">
        <v>1468</v>
      </c>
      <c r="BX10" s="3" t="s">
        <v>1470</v>
      </c>
      <c r="BY10" s="3" t="s">
        <v>285</v>
      </c>
      <c r="BZ10" t="s">
        <v>736</v>
      </c>
      <c r="CA10" t="s">
        <v>1483</v>
      </c>
      <c r="CB10" t="s">
        <v>1183</v>
      </c>
      <c r="CC10" t="s">
        <v>1211</v>
      </c>
      <c r="CD10" t="s">
        <v>1222</v>
      </c>
      <c r="CE10" t="s">
        <v>1211</v>
      </c>
      <c r="CF10" t="s">
        <v>1211</v>
      </c>
      <c r="CG10" t="s">
        <v>1509</v>
      </c>
      <c r="CH10" t="s">
        <v>1150</v>
      </c>
      <c r="CI10" s="21"/>
      <c r="CK10"/>
      <c r="CN10"/>
      <c r="CO10"/>
      <c r="CP10"/>
      <c r="CR10"/>
      <c r="CS10"/>
      <c r="CT10"/>
      <c r="CU10"/>
      <c r="CV10"/>
      <c r="CX10"/>
      <c r="CY10"/>
      <c r="CZ10"/>
      <c r="DA10"/>
      <c r="DB10"/>
      <c r="DC10"/>
      <c r="DD10"/>
      <c r="DG10" s="33"/>
    </row>
    <row r="11" spans="1:111" s="3" customFormat="1">
      <c r="A11" s="3" t="s">
        <v>79</v>
      </c>
      <c r="B11" s="3" t="s">
        <v>1325</v>
      </c>
      <c r="C11" s="3">
        <v>2021</v>
      </c>
      <c r="D11" t="s">
        <v>1362</v>
      </c>
      <c r="E11" s="3" t="s">
        <v>82</v>
      </c>
      <c r="F11" s="3">
        <v>34</v>
      </c>
      <c r="G11" s="3" t="s">
        <v>273</v>
      </c>
      <c r="H11" s="3" t="s">
        <v>273</v>
      </c>
      <c r="I11" s="3">
        <v>59.79</v>
      </c>
      <c r="J11" s="3">
        <v>8.4</v>
      </c>
      <c r="K11" s="3" t="s">
        <v>273</v>
      </c>
      <c r="L11" s="3" t="s">
        <v>273</v>
      </c>
      <c r="M11" s="3" t="s">
        <v>273</v>
      </c>
      <c r="N11" s="3" t="s">
        <v>273</v>
      </c>
      <c r="O11" s="3">
        <v>24.56</v>
      </c>
      <c r="P11" s="3">
        <v>8.2799999999999994</v>
      </c>
      <c r="Q11" s="3" t="s">
        <v>273</v>
      </c>
      <c r="R11" s="3" t="s">
        <v>273</v>
      </c>
      <c r="S11" s="3" t="s">
        <v>273</v>
      </c>
      <c r="T11" s="3" t="s">
        <v>273</v>
      </c>
      <c r="U11" s="3">
        <v>1.5</v>
      </c>
      <c r="V11" s="3" t="s">
        <v>1521</v>
      </c>
      <c r="W11" s="3" t="s">
        <v>273</v>
      </c>
      <c r="X11" s="3" t="s">
        <v>273</v>
      </c>
      <c r="Y11" s="3" t="s">
        <v>289</v>
      </c>
      <c r="Z11" s="3">
        <v>43</v>
      </c>
      <c r="AA11" s="3">
        <v>59.44</v>
      </c>
      <c r="AB11" s="3">
        <v>8.4</v>
      </c>
      <c r="AC11" s="3" t="s">
        <v>331</v>
      </c>
      <c r="AD11" s="3" t="s">
        <v>1274</v>
      </c>
      <c r="AE11" s="3" t="s">
        <v>1276</v>
      </c>
      <c r="AF11" s="3" t="s">
        <v>272</v>
      </c>
      <c r="AG11" s="3" t="s">
        <v>924</v>
      </c>
      <c r="AH11" s="3" t="s">
        <v>1432</v>
      </c>
      <c r="AI11" s="3" t="s">
        <v>910</v>
      </c>
      <c r="AJ11" s="3">
        <v>2000</v>
      </c>
      <c r="AK11" s="3">
        <v>30</v>
      </c>
      <c r="AL11" s="3">
        <v>240</v>
      </c>
      <c r="AM11" s="3">
        <f t="shared" ref="AM11" si="2">AJ11*AL11/60000</f>
        <v>8</v>
      </c>
      <c r="AN11" s="3" t="s">
        <v>263</v>
      </c>
      <c r="AO11" s="3">
        <v>3</v>
      </c>
      <c r="AP11" s="3" t="s">
        <v>1445</v>
      </c>
      <c r="AQ11" s="3" t="s">
        <v>269</v>
      </c>
      <c r="AR11" s="3" t="s">
        <v>269</v>
      </c>
      <c r="AS11" s="3" t="s">
        <v>269</v>
      </c>
      <c r="AT11" s="3" t="s">
        <v>1444</v>
      </c>
      <c r="AU11" s="3" t="s">
        <v>1444</v>
      </c>
      <c r="AV11" s="3" t="s">
        <v>269</v>
      </c>
      <c r="AW11" s="3">
        <v>3</v>
      </c>
      <c r="AX11" s="3">
        <v>0.5</v>
      </c>
      <c r="AY11" s="3" t="s">
        <v>273</v>
      </c>
      <c r="AZ11" s="3">
        <v>3</v>
      </c>
      <c r="BA11" s="3">
        <v>3</v>
      </c>
      <c r="BB11" s="3" t="s">
        <v>273</v>
      </c>
      <c r="BC11" s="3" t="s">
        <v>273</v>
      </c>
      <c r="BD11" t="s">
        <v>273</v>
      </c>
      <c r="BE11" s="3" t="s">
        <v>266</v>
      </c>
      <c r="BF11" s="3" t="s">
        <v>1465</v>
      </c>
      <c r="BG11" s="3" t="s">
        <v>273</v>
      </c>
      <c r="BH11" s="3">
        <v>0.15</v>
      </c>
      <c r="BI11" s="3" t="s">
        <v>273</v>
      </c>
      <c r="BJ11" s="3" t="s">
        <v>273</v>
      </c>
      <c r="BK11" s="3" t="s">
        <v>273</v>
      </c>
      <c r="BL11" t="s">
        <v>1073</v>
      </c>
      <c r="BM11">
        <v>6</v>
      </c>
      <c r="BN11" s="3">
        <v>22</v>
      </c>
      <c r="BO11" t="s">
        <v>1540</v>
      </c>
      <c r="BP11" s="3" t="s">
        <v>687</v>
      </c>
      <c r="BQ11" s="3" t="s">
        <v>243</v>
      </c>
      <c r="BR11" s="3">
        <v>44</v>
      </c>
      <c r="BS11" s="3">
        <v>2</v>
      </c>
      <c r="BT11" s="3" t="s">
        <v>1130</v>
      </c>
      <c r="BU11" s="3">
        <v>4</v>
      </c>
      <c r="BV11" s="3" t="s">
        <v>389</v>
      </c>
      <c r="BW11" s="3" t="s">
        <v>1468</v>
      </c>
      <c r="BX11" s="3" t="s">
        <v>1470</v>
      </c>
      <c r="BY11" s="3" t="s">
        <v>285</v>
      </c>
      <c r="BZ11" t="s">
        <v>736</v>
      </c>
      <c r="CA11" t="s">
        <v>1483</v>
      </c>
      <c r="CB11" t="s">
        <v>1183</v>
      </c>
      <c r="CC11" t="s">
        <v>1211</v>
      </c>
      <c r="CD11" t="s">
        <v>1222</v>
      </c>
      <c r="CE11" t="s">
        <v>1211</v>
      </c>
      <c r="CF11" t="s">
        <v>1211</v>
      </c>
      <c r="CG11" t="s">
        <v>1509</v>
      </c>
      <c r="CH11" t="s">
        <v>1150</v>
      </c>
      <c r="CI11" s="21"/>
      <c r="CK11"/>
      <c r="CN11"/>
      <c r="CO11"/>
      <c r="CP11"/>
      <c r="CR11"/>
      <c r="CS11"/>
      <c r="CT11"/>
      <c r="CU11"/>
      <c r="CV11"/>
      <c r="CX11"/>
      <c r="CY11"/>
      <c r="CZ11"/>
      <c r="DA11"/>
      <c r="DB11"/>
      <c r="DC11"/>
      <c r="DD11"/>
      <c r="DG11" s="33"/>
    </row>
    <row r="12" spans="1:111">
      <c r="A12" t="s">
        <v>83</v>
      </c>
      <c r="B12" t="s">
        <v>1326</v>
      </c>
      <c r="C12">
        <v>2018</v>
      </c>
      <c r="D12" s="3" t="s">
        <v>1362</v>
      </c>
      <c r="E12" t="s">
        <v>86</v>
      </c>
      <c r="F12">
        <v>24</v>
      </c>
      <c r="G12" t="s">
        <v>273</v>
      </c>
      <c r="H12" t="s">
        <v>273</v>
      </c>
      <c r="I12">
        <v>63.42</v>
      </c>
      <c r="J12">
        <v>7.93</v>
      </c>
      <c r="K12" t="s">
        <v>273</v>
      </c>
      <c r="L12" t="s">
        <v>273</v>
      </c>
      <c r="M12" t="s">
        <v>273</v>
      </c>
      <c r="N12" t="s">
        <v>273</v>
      </c>
      <c r="O12">
        <v>21.08</v>
      </c>
      <c r="P12">
        <v>8.31</v>
      </c>
      <c r="Q12" t="s">
        <v>273</v>
      </c>
      <c r="R12" t="s">
        <v>273</v>
      </c>
      <c r="S12" t="s">
        <v>273</v>
      </c>
      <c r="T12" t="s">
        <v>273</v>
      </c>
      <c r="U12" t="s">
        <v>273</v>
      </c>
      <c r="V12" t="s">
        <v>273</v>
      </c>
      <c r="W12" t="s">
        <v>273</v>
      </c>
      <c r="X12" t="s">
        <v>273</v>
      </c>
      <c r="Y12" t="s">
        <v>289</v>
      </c>
      <c r="Z12">
        <v>27</v>
      </c>
      <c r="AA12">
        <v>59.37</v>
      </c>
      <c r="AB12">
        <v>8.5399999999999991</v>
      </c>
      <c r="AC12" t="s">
        <v>331</v>
      </c>
      <c r="AD12" t="s">
        <v>1271</v>
      </c>
      <c r="AE12" t="s">
        <v>1272</v>
      </c>
      <c r="AF12" t="s">
        <v>272</v>
      </c>
      <c r="AG12" t="s">
        <v>1411</v>
      </c>
      <c r="AH12" t="s">
        <v>1432</v>
      </c>
      <c r="AI12" t="s">
        <v>910</v>
      </c>
      <c r="AJ12">
        <v>2150</v>
      </c>
      <c r="AK12">
        <v>35</v>
      </c>
      <c r="AL12">
        <v>202</v>
      </c>
      <c r="AM12">
        <f t="shared" si="0"/>
        <v>7.2383333333333333</v>
      </c>
      <c r="AN12" t="s">
        <v>291</v>
      </c>
      <c r="AO12">
        <v>3</v>
      </c>
      <c r="AP12" t="s">
        <v>1445</v>
      </c>
      <c r="AQ12" t="s">
        <v>269</v>
      </c>
      <c r="AR12" t="s">
        <v>269</v>
      </c>
      <c r="AS12" t="s">
        <v>269</v>
      </c>
      <c r="AT12" t="s">
        <v>269</v>
      </c>
      <c r="AU12" t="s">
        <v>269</v>
      </c>
      <c r="AV12" t="s">
        <v>1444</v>
      </c>
      <c r="AW12">
        <v>3</v>
      </c>
      <c r="AX12" t="s">
        <v>273</v>
      </c>
      <c r="AY12">
        <v>1.5</v>
      </c>
      <c r="AZ12" t="s">
        <v>273</v>
      </c>
      <c r="BA12" t="s">
        <v>273</v>
      </c>
      <c r="BB12" t="s">
        <v>273</v>
      </c>
      <c r="BC12" t="s">
        <v>1452</v>
      </c>
      <c r="BD12" t="s">
        <v>273</v>
      </c>
      <c r="BE12" t="s">
        <v>276</v>
      </c>
      <c r="BF12" t="s">
        <v>1466</v>
      </c>
      <c r="BG12">
        <v>0.01</v>
      </c>
      <c r="BH12" t="s">
        <v>273</v>
      </c>
      <c r="BI12" t="s">
        <v>273</v>
      </c>
      <c r="BJ12" t="s">
        <v>273</v>
      </c>
      <c r="BK12" t="s">
        <v>273</v>
      </c>
      <c r="BL12" t="s">
        <v>1073</v>
      </c>
      <c r="BM12">
        <v>2</v>
      </c>
      <c r="BN12">
        <v>264</v>
      </c>
      <c r="BO12" t="s">
        <v>1541</v>
      </c>
      <c r="BP12" s="3" t="s">
        <v>1116</v>
      </c>
      <c r="BQ12" s="3" t="s">
        <v>243</v>
      </c>
      <c r="BR12">
        <v>60.2</v>
      </c>
      <c r="BS12">
        <v>10.75</v>
      </c>
      <c r="BT12" t="s">
        <v>910</v>
      </c>
      <c r="BU12" t="s">
        <v>324</v>
      </c>
      <c r="BV12" t="s">
        <v>910</v>
      </c>
      <c r="BW12" s="3" t="s">
        <v>1468</v>
      </c>
      <c r="BX12" t="s">
        <v>273</v>
      </c>
      <c r="BY12" t="s">
        <v>285</v>
      </c>
      <c r="BZ12" t="s">
        <v>736</v>
      </c>
      <c r="CA12" t="s">
        <v>1177</v>
      </c>
      <c r="CB12" t="s">
        <v>1522</v>
      </c>
      <c r="CC12" t="s">
        <v>1211</v>
      </c>
      <c r="CD12" t="s">
        <v>1222</v>
      </c>
      <c r="CE12" t="s">
        <v>1211</v>
      </c>
      <c r="CF12" t="s">
        <v>1211</v>
      </c>
      <c r="CG12" t="s">
        <v>1246</v>
      </c>
      <c r="CH12" t="s">
        <v>1151</v>
      </c>
      <c r="DG12" s="33"/>
    </row>
    <row r="13" spans="1:111" s="3" customFormat="1">
      <c r="A13" s="3" t="s">
        <v>87</v>
      </c>
      <c r="B13" s="3" t="s">
        <v>1327</v>
      </c>
      <c r="C13" s="3">
        <v>2021</v>
      </c>
      <c r="D13" s="3" t="s">
        <v>1363</v>
      </c>
      <c r="E13" s="3" t="s">
        <v>90</v>
      </c>
      <c r="F13" s="3">
        <v>45</v>
      </c>
      <c r="G13" s="3" t="s">
        <v>273</v>
      </c>
      <c r="H13" s="3" t="s">
        <v>273</v>
      </c>
      <c r="I13" s="3">
        <v>64.400000000000006</v>
      </c>
      <c r="J13" s="3">
        <v>8.5</v>
      </c>
      <c r="K13" s="3" t="s">
        <v>273</v>
      </c>
      <c r="L13" s="3" t="s">
        <v>273</v>
      </c>
      <c r="M13" s="3" t="s">
        <v>273</v>
      </c>
      <c r="N13" s="3" t="s">
        <v>273</v>
      </c>
      <c r="O13" s="3">
        <v>26</v>
      </c>
      <c r="P13" s="3">
        <v>19</v>
      </c>
      <c r="Q13" s="3" t="s">
        <v>273</v>
      </c>
      <c r="R13" s="3" t="s">
        <v>273</v>
      </c>
      <c r="S13" s="3" t="s">
        <v>273</v>
      </c>
      <c r="T13" s="3" t="s">
        <v>273</v>
      </c>
      <c r="U13" s="3">
        <v>2</v>
      </c>
      <c r="V13" s="3">
        <v>0.75</v>
      </c>
      <c r="W13" s="3" t="s">
        <v>273</v>
      </c>
      <c r="X13" s="3" t="s">
        <v>273</v>
      </c>
      <c r="Y13" s="3" t="s">
        <v>289</v>
      </c>
      <c r="Z13" s="3">
        <v>37</v>
      </c>
      <c r="AA13" s="3">
        <v>61.9</v>
      </c>
      <c r="AB13" s="3">
        <v>5.6</v>
      </c>
      <c r="AC13" s="3" t="s">
        <v>331</v>
      </c>
      <c r="AD13" s="3" t="s">
        <v>1274</v>
      </c>
      <c r="AE13" s="3" t="s">
        <v>1108</v>
      </c>
      <c r="AF13" s="3" t="s">
        <v>272</v>
      </c>
      <c r="AG13" s="3" t="s">
        <v>924</v>
      </c>
      <c r="AH13" s="3" t="s">
        <v>1432</v>
      </c>
      <c r="AI13" s="3" t="s">
        <v>910</v>
      </c>
      <c r="AJ13" s="3">
        <v>2000</v>
      </c>
      <c r="AK13" s="3">
        <v>21</v>
      </c>
      <c r="AL13" s="3">
        <v>240</v>
      </c>
      <c r="AM13" s="3">
        <f t="shared" si="0"/>
        <v>8</v>
      </c>
      <c r="AN13" s="3" t="s">
        <v>265</v>
      </c>
      <c r="AO13" s="3">
        <v>3</v>
      </c>
      <c r="AP13" s="3" t="s">
        <v>273</v>
      </c>
      <c r="AQ13" s="3" t="s">
        <v>269</v>
      </c>
      <c r="AR13" s="3" t="s">
        <v>269</v>
      </c>
      <c r="AS13" s="3" t="s">
        <v>269</v>
      </c>
      <c r="AT13" s="3" t="s">
        <v>269</v>
      </c>
      <c r="AU13" s="3" t="s">
        <v>269</v>
      </c>
      <c r="AV13" s="3" t="s">
        <v>269</v>
      </c>
      <c r="AW13" s="3">
        <v>3</v>
      </c>
      <c r="AX13" s="3" t="s">
        <v>273</v>
      </c>
      <c r="AY13" s="3" t="s">
        <v>273</v>
      </c>
      <c r="AZ13" s="3" t="s">
        <v>273</v>
      </c>
      <c r="BA13" s="3" t="s">
        <v>273</v>
      </c>
      <c r="BB13" s="3" t="s">
        <v>273</v>
      </c>
      <c r="BC13" s="3" t="s">
        <v>1453</v>
      </c>
      <c r="BD13" t="s">
        <v>273</v>
      </c>
      <c r="BE13" s="3" t="s">
        <v>266</v>
      </c>
      <c r="BF13" s="3" t="s">
        <v>1465</v>
      </c>
      <c r="BG13" s="3" t="s">
        <v>273</v>
      </c>
      <c r="BH13" s="3">
        <v>0.1</v>
      </c>
      <c r="BI13" s="3" t="s">
        <v>273</v>
      </c>
      <c r="BJ13" s="3" t="s">
        <v>273</v>
      </c>
      <c r="BK13" s="3" t="s">
        <v>273</v>
      </c>
      <c r="BL13" t="s">
        <v>1073</v>
      </c>
      <c r="BM13">
        <v>8</v>
      </c>
      <c r="BN13" s="3">
        <v>24</v>
      </c>
      <c r="BO13" t="s">
        <v>1542</v>
      </c>
      <c r="BP13" s="3" t="s">
        <v>687</v>
      </c>
      <c r="BQ13" s="3" t="s">
        <v>243</v>
      </c>
      <c r="BR13" s="3">
        <v>40</v>
      </c>
      <c r="BS13" s="3">
        <v>2</v>
      </c>
      <c r="BT13" s="3" t="s">
        <v>1130</v>
      </c>
      <c r="BU13" s="3">
        <v>4</v>
      </c>
      <c r="BV13" s="3" t="s">
        <v>389</v>
      </c>
      <c r="BW13" s="3" t="s">
        <v>1468</v>
      </c>
      <c r="BX13" t="s">
        <v>273</v>
      </c>
      <c r="BY13" s="3" t="s">
        <v>336</v>
      </c>
      <c r="BZ13" t="s">
        <v>736</v>
      </c>
      <c r="CA13" t="s">
        <v>1484</v>
      </c>
      <c r="CB13" t="s">
        <v>1184</v>
      </c>
      <c r="CC13" t="s">
        <v>1185</v>
      </c>
      <c r="CD13" t="s">
        <v>1218</v>
      </c>
      <c r="CE13" t="s">
        <v>1211</v>
      </c>
      <c r="CF13" t="s">
        <v>1211</v>
      </c>
      <c r="CG13" t="s">
        <v>1510</v>
      </c>
      <c r="CH13" t="s">
        <v>1152</v>
      </c>
      <c r="CI13" s="21"/>
      <c r="CK13"/>
      <c r="CN13"/>
      <c r="CO13"/>
      <c r="CP13"/>
      <c r="CQ13"/>
      <c r="CR13"/>
      <c r="CS13"/>
      <c r="CT13"/>
      <c r="CU13"/>
      <c r="CV13"/>
      <c r="CW13"/>
      <c r="CX13"/>
      <c r="CY13"/>
      <c r="CZ13"/>
      <c r="DA13"/>
      <c r="DB13"/>
      <c r="DC13" s="4"/>
      <c r="DD13"/>
      <c r="DE13"/>
      <c r="DF13"/>
      <c r="DG13" s="33"/>
    </row>
    <row r="14" spans="1:111" s="3" customFormat="1">
      <c r="A14" s="3" t="s">
        <v>87</v>
      </c>
      <c r="B14" s="3" t="s">
        <v>1327</v>
      </c>
      <c r="C14" s="3">
        <v>2021</v>
      </c>
      <c r="D14" t="s">
        <v>1363</v>
      </c>
      <c r="E14" s="3" t="s">
        <v>90</v>
      </c>
      <c r="F14" s="3">
        <v>81</v>
      </c>
      <c r="G14" s="3" t="s">
        <v>273</v>
      </c>
      <c r="H14" s="3" t="s">
        <v>273</v>
      </c>
      <c r="I14" s="3">
        <v>60.9</v>
      </c>
      <c r="J14" s="3">
        <v>9</v>
      </c>
      <c r="K14" s="3" t="s">
        <v>273</v>
      </c>
      <c r="L14" s="3" t="s">
        <v>273</v>
      </c>
      <c r="M14" s="3" t="s">
        <v>273</v>
      </c>
      <c r="N14" s="3" t="s">
        <v>273</v>
      </c>
      <c r="O14" s="3">
        <v>27</v>
      </c>
      <c r="P14" s="3">
        <v>20.5</v>
      </c>
      <c r="Q14" s="3" t="s">
        <v>273</v>
      </c>
      <c r="R14" s="3" t="s">
        <v>273</v>
      </c>
      <c r="S14" s="3" t="s">
        <v>273</v>
      </c>
      <c r="T14" s="3" t="s">
        <v>273</v>
      </c>
      <c r="U14" s="3">
        <v>2</v>
      </c>
      <c r="V14" s="3">
        <v>1</v>
      </c>
      <c r="W14" s="3" t="s">
        <v>273</v>
      </c>
      <c r="X14" s="3" t="s">
        <v>273</v>
      </c>
      <c r="Y14" s="3" t="s">
        <v>289</v>
      </c>
      <c r="Z14" s="3">
        <v>37</v>
      </c>
      <c r="AA14" s="3">
        <v>61.9</v>
      </c>
      <c r="AB14" s="3">
        <v>5.6</v>
      </c>
      <c r="AC14" s="3" t="s">
        <v>331</v>
      </c>
      <c r="AD14" s="3" t="s">
        <v>1274</v>
      </c>
      <c r="AE14" s="3" t="s">
        <v>1108</v>
      </c>
      <c r="AF14" s="3" t="s">
        <v>272</v>
      </c>
      <c r="AG14" s="3" t="s">
        <v>924</v>
      </c>
      <c r="AH14" s="3" t="s">
        <v>1432</v>
      </c>
      <c r="AI14" s="3" t="s">
        <v>910</v>
      </c>
      <c r="AJ14" s="3">
        <v>2000</v>
      </c>
      <c r="AK14" s="3">
        <v>21</v>
      </c>
      <c r="AL14" s="3">
        <v>240</v>
      </c>
      <c r="AM14" s="3">
        <f t="shared" ref="AM14" si="3">AJ14*AL14/60000</f>
        <v>8</v>
      </c>
      <c r="AN14" s="3" t="s">
        <v>265</v>
      </c>
      <c r="AO14" s="3">
        <v>3</v>
      </c>
      <c r="AP14" s="3" t="s">
        <v>273</v>
      </c>
      <c r="AQ14" s="3" t="s">
        <v>269</v>
      </c>
      <c r="AR14" s="3" t="s">
        <v>269</v>
      </c>
      <c r="AS14" s="3" t="s">
        <v>269</v>
      </c>
      <c r="AT14" s="3" t="s">
        <v>269</v>
      </c>
      <c r="AU14" s="3" t="s">
        <v>269</v>
      </c>
      <c r="AV14" s="3" t="s">
        <v>269</v>
      </c>
      <c r="AW14" s="3">
        <v>3</v>
      </c>
      <c r="AX14" s="3" t="s">
        <v>273</v>
      </c>
      <c r="AY14" s="3" t="s">
        <v>273</v>
      </c>
      <c r="AZ14" s="3" t="s">
        <v>273</v>
      </c>
      <c r="BA14" s="3" t="s">
        <v>273</v>
      </c>
      <c r="BB14" s="3" t="s">
        <v>273</v>
      </c>
      <c r="BC14" s="3" t="s">
        <v>1453</v>
      </c>
      <c r="BD14" t="s">
        <v>273</v>
      </c>
      <c r="BE14" s="3" t="s">
        <v>266</v>
      </c>
      <c r="BF14" s="3" t="s">
        <v>1465</v>
      </c>
      <c r="BG14" s="3" t="s">
        <v>273</v>
      </c>
      <c r="BH14" s="3">
        <v>0.1</v>
      </c>
      <c r="BI14" s="3" t="s">
        <v>273</v>
      </c>
      <c r="BJ14" s="3" t="s">
        <v>273</v>
      </c>
      <c r="BK14" s="3" t="s">
        <v>273</v>
      </c>
      <c r="BL14" t="s">
        <v>1073</v>
      </c>
      <c r="BM14">
        <v>8</v>
      </c>
      <c r="BN14" s="3">
        <v>24</v>
      </c>
      <c r="BO14" t="s">
        <v>1542</v>
      </c>
      <c r="BP14" s="3" t="s">
        <v>687</v>
      </c>
      <c r="BQ14" s="3" t="s">
        <v>243</v>
      </c>
      <c r="BR14" s="3">
        <v>40</v>
      </c>
      <c r="BS14" s="3">
        <v>2</v>
      </c>
      <c r="BT14" s="3" t="s">
        <v>1130</v>
      </c>
      <c r="BU14" s="3">
        <v>4</v>
      </c>
      <c r="BV14" s="3" t="s">
        <v>389</v>
      </c>
      <c r="BW14" s="3" t="s">
        <v>1468</v>
      </c>
      <c r="BX14" t="s">
        <v>273</v>
      </c>
      <c r="BY14" s="3" t="s">
        <v>336</v>
      </c>
      <c r="BZ14" t="s">
        <v>736</v>
      </c>
      <c r="CA14" t="s">
        <v>1484</v>
      </c>
      <c r="CB14" t="s">
        <v>1184</v>
      </c>
      <c r="CC14" t="s">
        <v>1185</v>
      </c>
      <c r="CD14" t="s">
        <v>1218</v>
      </c>
      <c r="CE14" t="s">
        <v>1211</v>
      </c>
      <c r="CF14" t="s">
        <v>1211</v>
      </c>
      <c r="CG14" t="s">
        <v>1510</v>
      </c>
      <c r="CH14" t="s">
        <v>1152</v>
      </c>
      <c r="CI14" s="21"/>
      <c r="CK14"/>
      <c r="CN14"/>
      <c r="CO14"/>
      <c r="CP14"/>
      <c r="CQ14"/>
      <c r="CR14"/>
      <c r="CS14"/>
      <c r="CT14"/>
      <c r="CU14"/>
      <c r="CV14"/>
      <c r="CW14"/>
      <c r="CX14"/>
      <c r="CY14"/>
      <c r="CZ14"/>
      <c r="DA14"/>
      <c r="DB14"/>
      <c r="DC14" s="4"/>
      <c r="DD14"/>
      <c r="DE14"/>
      <c r="DF14"/>
      <c r="DG14" s="33"/>
    </row>
    <row r="15" spans="1:111">
      <c r="A15" t="s">
        <v>91</v>
      </c>
      <c r="B15" t="s">
        <v>1328</v>
      </c>
      <c r="C15">
        <v>2023</v>
      </c>
      <c r="D15" t="s">
        <v>1362</v>
      </c>
      <c r="E15" t="s">
        <v>93</v>
      </c>
      <c r="F15">
        <v>16</v>
      </c>
      <c r="G15" s="10" t="s">
        <v>273</v>
      </c>
      <c r="H15" s="10" t="s">
        <v>273</v>
      </c>
      <c r="I15" s="26">
        <v>70.75</v>
      </c>
      <c r="J15" s="10" t="s">
        <v>273</v>
      </c>
      <c r="K15" s="10" t="s">
        <v>273</v>
      </c>
      <c r="L15" s="10" t="s">
        <v>273</v>
      </c>
      <c r="M15" s="10" t="s">
        <v>273</v>
      </c>
      <c r="N15" s="10" t="s">
        <v>273</v>
      </c>
      <c r="O15" s="10" t="s">
        <v>273</v>
      </c>
      <c r="P15" s="10" t="s">
        <v>273</v>
      </c>
      <c r="Q15" s="10">
        <v>24.5</v>
      </c>
      <c r="R15" s="10" t="s">
        <v>1404</v>
      </c>
      <c r="S15" s="10" t="s">
        <v>273</v>
      </c>
      <c r="T15" s="10" t="s">
        <v>273</v>
      </c>
      <c r="U15" s="10">
        <v>2</v>
      </c>
      <c r="V15" s="10" t="s">
        <v>1403</v>
      </c>
      <c r="W15" s="10" t="s">
        <v>273</v>
      </c>
      <c r="X15" s="10" t="s">
        <v>273</v>
      </c>
      <c r="Y15" t="s">
        <v>289</v>
      </c>
      <c r="Z15" t="s">
        <v>736</v>
      </c>
      <c r="AA15" t="s">
        <v>273</v>
      </c>
      <c r="AB15" t="s">
        <v>273</v>
      </c>
      <c r="AC15" t="s">
        <v>331</v>
      </c>
      <c r="AD15" t="s">
        <v>1274</v>
      </c>
      <c r="AE15" t="s">
        <v>1277</v>
      </c>
      <c r="AF15" t="s">
        <v>921</v>
      </c>
      <c r="AG15" t="s">
        <v>242</v>
      </c>
      <c r="AH15" t="s">
        <v>1432</v>
      </c>
      <c r="AI15" t="s">
        <v>910</v>
      </c>
      <c r="AJ15">
        <v>2500</v>
      </c>
      <c r="AK15">
        <v>30</v>
      </c>
      <c r="AL15">
        <v>240</v>
      </c>
      <c r="AM15">
        <f t="shared" si="0"/>
        <v>10</v>
      </c>
      <c r="AN15" t="s">
        <v>341</v>
      </c>
      <c r="AO15">
        <v>3</v>
      </c>
      <c r="AP15" t="s">
        <v>273</v>
      </c>
      <c r="AQ15" t="s">
        <v>269</v>
      </c>
      <c r="AR15" t="s">
        <v>269</v>
      </c>
      <c r="AS15" t="s">
        <v>269</v>
      </c>
      <c r="AT15" t="s">
        <v>269</v>
      </c>
      <c r="AU15" t="s">
        <v>1444</v>
      </c>
      <c r="AV15" t="s">
        <v>269</v>
      </c>
      <c r="AW15">
        <v>3</v>
      </c>
      <c r="AX15">
        <v>0.5</v>
      </c>
      <c r="AY15" t="s">
        <v>273</v>
      </c>
      <c r="AZ15">
        <v>3</v>
      </c>
      <c r="BA15">
        <v>3</v>
      </c>
      <c r="BB15" t="s">
        <v>273</v>
      </c>
      <c r="BC15" t="s">
        <v>273</v>
      </c>
      <c r="BD15" t="s">
        <v>273</v>
      </c>
      <c r="BE15" t="s">
        <v>266</v>
      </c>
      <c r="BF15" t="s">
        <v>1465</v>
      </c>
      <c r="BG15" t="s">
        <v>273</v>
      </c>
      <c r="BH15">
        <v>0.15</v>
      </c>
      <c r="BI15" t="s">
        <v>273</v>
      </c>
      <c r="BJ15" t="s">
        <v>273</v>
      </c>
      <c r="BK15" t="s">
        <v>273</v>
      </c>
      <c r="BL15" t="s">
        <v>1073</v>
      </c>
      <c r="BM15">
        <v>7</v>
      </c>
      <c r="BN15">
        <v>27</v>
      </c>
      <c r="BO15" t="s">
        <v>1539</v>
      </c>
      <c r="BP15" s="3" t="s">
        <v>687</v>
      </c>
      <c r="BQ15" s="3" t="s">
        <v>243</v>
      </c>
      <c r="BR15">
        <v>45</v>
      </c>
      <c r="BS15">
        <v>2.5</v>
      </c>
      <c r="BT15" s="3" t="s">
        <v>1130</v>
      </c>
      <c r="BU15">
        <v>4</v>
      </c>
      <c r="BV15" t="s">
        <v>389</v>
      </c>
      <c r="BW15" s="3" t="s">
        <v>1468</v>
      </c>
      <c r="BX15" t="s">
        <v>273</v>
      </c>
      <c r="BY15" t="s">
        <v>346</v>
      </c>
      <c r="BZ15" t="s">
        <v>736</v>
      </c>
      <c r="CA15" t="s">
        <v>1485</v>
      </c>
      <c r="CB15" t="s">
        <v>1523</v>
      </c>
      <c r="CC15" t="s">
        <v>1211</v>
      </c>
      <c r="CD15" t="s">
        <v>1220</v>
      </c>
      <c r="CE15" t="s">
        <v>1211</v>
      </c>
      <c r="CF15" t="s">
        <v>1211</v>
      </c>
      <c r="CG15" t="s">
        <v>1247</v>
      </c>
      <c r="CH15" t="s">
        <v>1153</v>
      </c>
      <c r="DD15" s="6"/>
      <c r="DG15" s="33"/>
    </row>
    <row r="16" spans="1:111">
      <c r="A16" t="s">
        <v>91</v>
      </c>
      <c r="B16" t="s">
        <v>1328</v>
      </c>
      <c r="C16">
        <v>2023</v>
      </c>
      <c r="D16" s="3" t="s">
        <v>1362</v>
      </c>
      <c r="E16" t="s">
        <v>93</v>
      </c>
      <c r="F16">
        <v>41</v>
      </c>
      <c r="G16" s="10" t="s">
        <v>273</v>
      </c>
      <c r="H16" s="10" t="s">
        <v>273</v>
      </c>
      <c r="I16" s="26">
        <v>62</v>
      </c>
      <c r="J16" s="10" t="s">
        <v>273</v>
      </c>
      <c r="K16" s="10" t="s">
        <v>273</v>
      </c>
      <c r="L16" s="10" t="s">
        <v>273</v>
      </c>
      <c r="M16" s="10" t="s">
        <v>273</v>
      </c>
      <c r="N16" s="10" t="s">
        <v>273</v>
      </c>
      <c r="O16" s="10" t="s">
        <v>273</v>
      </c>
      <c r="P16" s="10" t="s">
        <v>273</v>
      </c>
      <c r="Q16" s="10">
        <v>19</v>
      </c>
      <c r="R16" s="10" t="s">
        <v>1405</v>
      </c>
      <c r="S16" s="10" t="s">
        <v>273</v>
      </c>
      <c r="T16" s="10" t="s">
        <v>273</v>
      </c>
      <c r="U16" s="10">
        <v>2</v>
      </c>
      <c r="V16" s="10" t="s">
        <v>1403</v>
      </c>
      <c r="W16" s="10" t="s">
        <v>273</v>
      </c>
      <c r="X16" s="10" t="s">
        <v>273</v>
      </c>
      <c r="Y16" t="s">
        <v>289</v>
      </c>
      <c r="Z16" t="s">
        <v>736</v>
      </c>
      <c r="AA16" t="s">
        <v>273</v>
      </c>
      <c r="AB16" t="s">
        <v>273</v>
      </c>
      <c r="AC16" t="s">
        <v>331</v>
      </c>
      <c r="AD16" t="s">
        <v>1274</v>
      </c>
      <c r="AE16" t="s">
        <v>1277</v>
      </c>
      <c r="AF16" t="s">
        <v>921</v>
      </c>
      <c r="AG16" t="s">
        <v>242</v>
      </c>
      <c r="AH16" t="s">
        <v>1432</v>
      </c>
      <c r="AI16" t="s">
        <v>910</v>
      </c>
      <c r="AJ16">
        <v>2500</v>
      </c>
      <c r="AK16">
        <v>30</v>
      </c>
      <c r="AL16">
        <v>240</v>
      </c>
      <c r="AM16">
        <f t="shared" ref="AM16" si="4">AJ16*AL16/60000</f>
        <v>10</v>
      </c>
      <c r="AN16" t="s">
        <v>341</v>
      </c>
      <c r="AO16">
        <v>3</v>
      </c>
      <c r="AP16" t="s">
        <v>273</v>
      </c>
      <c r="AQ16" t="s">
        <v>269</v>
      </c>
      <c r="AR16" t="s">
        <v>269</v>
      </c>
      <c r="AS16" t="s">
        <v>269</v>
      </c>
      <c r="AT16" t="s">
        <v>269</v>
      </c>
      <c r="AU16" t="s">
        <v>1444</v>
      </c>
      <c r="AV16" t="s">
        <v>269</v>
      </c>
      <c r="AW16">
        <v>3</v>
      </c>
      <c r="AX16">
        <v>0.5</v>
      </c>
      <c r="AY16" t="s">
        <v>273</v>
      </c>
      <c r="AZ16">
        <v>3</v>
      </c>
      <c r="BA16">
        <v>3</v>
      </c>
      <c r="BB16" t="s">
        <v>273</v>
      </c>
      <c r="BC16" t="s">
        <v>273</v>
      </c>
      <c r="BD16" t="s">
        <v>273</v>
      </c>
      <c r="BE16" t="s">
        <v>266</v>
      </c>
      <c r="BF16" t="s">
        <v>1465</v>
      </c>
      <c r="BG16" t="s">
        <v>273</v>
      </c>
      <c r="BH16">
        <v>0.15</v>
      </c>
      <c r="BI16" t="s">
        <v>273</v>
      </c>
      <c r="BJ16" t="s">
        <v>273</v>
      </c>
      <c r="BK16" t="s">
        <v>273</v>
      </c>
      <c r="BL16" t="s">
        <v>1073</v>
      </c>
      <c r="BM16">
        <v>7</v>
      </c>
      <c r="BN16">
        <v>27</v>
      </c>
      <c r="BO16" t="s">
        <v>1539</v>
      </c>
      <c r="BP16" s="3" t="s">
        <v>687</v>
      </c>
      <c r="BQ16" s="3" t="s">
        <v>243</v>
      </c>
      <c r="BR16">
        <v>45</v>
      </c>
      <c r="BS16">
        <v>2.5</v>
      </c>
      <c r="BT16" s="3" t="s">
        <v>1130</v>
      </c>
      <c r="BU16">
        <v>4</v>
      </c>
      <c r="BV16" t="s">
        <v>389</v>
      </c>
      <c r="BW16" s="3" t="s">
        <v>1468</v>
      </c>
      <c r="BX16" t="s">
        <v>273</v>
      </c>
      <c r="BY16" t="s">
        <v>346</v>
      </c>
      <c r="BZ16" t="s">
        <v>736</v>
      </c>
      <c r="CA16" t="s">
        <v>1485</v>
      </c>
      <c r="CB16" t="s">
        <v>1523</v>
      </c>
      <c r="CC16" t="s">
        <v>1211</v>
      </c>
      <c r="CD16" t="s">
        <v>1220</v>
      </c>
      <c r="CE16" t="s">
        <v>1211</v>
      </c>
      <c r="CF16" t="s">
        <v>1211</v>
      </c>
      <c r="CG16" t="s">
        <v>1247</v>
      </c>
      <c r="CH16" t="s">
        <v>1153</v>
      </c>
      <c r="DD16" s="6"/>
      <c r="DG16" s="33"/>
    </row>
    <row r="17" spans="1:111" s="3" customFormat="1">
      <c r="A17" s="3" t="s">
        <v>94</v>
      </c>
      <c r="B17" s="3" t="s">
        <v>1329</v>
      </c>
      <c r="C17" s="3">
        <v>2023</v>
      </c>
      <c r="D17" s="3" t="s">
        <v>1364</v>
      </c>
      <c r="E17" s="3" t="s">
        <v>97</v>
      </c>
      <c r="F17" s="3">
        <v>20</v>
      </c>
      <c r="G17" s="3" t="s">
        <v>273</v>
      </c>
      <c r="H17" s="3" t="s">
        <v>273</v>
      </c>
      <c r="I17" s="3">
        <v>64.349999999999994</v>
      </c>
      <c r="J17" s="3">
        <v>7.96</v>
      </c>
      <c r="K17" s="3">
        <v>15.9</v>
      </c>
      <c r="L17" s="3">
        <v>9.83</v>
      </c>
      <c r="M17" s="3" t="s">
        <v>273</v>
      </c>
      <c r="N17" s="3" t="s">
        <v>273</v>
      </c>
      <c r="O17" s="3" t="s">
        <v>273</v>
      </c>
      <c r="P17" s="3" t="s">
        <v>273</v>
      </c>
      <c r="Q17" s="3" t="s">
        <v>273</v>
      </c>
      <c r="R17" s="3" t="s">
        <v>273</v>
      </c>
      <c r="S17" s="3">
        <v>1.37</v>
      </c>
      <c r="T17" s="3">
        <v>0.48</v>
      </c>
      <c r="U17" s="3" t="s">
        <v>273</v>
      </c>
      <c r="V17" s="3" t="s">
        <v>273</v>
      </c>
      <c r="W17" s="3" t="s">
        <v>273</v>
      </c>
      <c r="X17" s="3" t="s">
        <v>273</v>
      </c>
      <c r="Y17" s="3" t="s">
        <v>289</v>
      </c>
      <c r="Z17" s="3">
        <v>19</v>
      </c>
      <c r="AA17" s="3">
        <v>62.84</v>
      </c>
      <c r="AB17" s="3">
        <v>10.5</v>
      </c>
      <c r="AC17" s="3" t="s">
        <v>527</v>
      </c>
      <c r="AD17" s="3" t="s">
        <v>1248</v>
      </c>
      <c r="AE17" s="3" t="s">
        <v>1278</v>
      </c>
      <c r="AF17" s="3" t="s">
        <v>921</v>
      </c>
      <c r="AG17" s="3" t="s">
        <v>242</v>
      </c>
      <c r="AH17" s="3" t="s">
        <v>1432</v>
      </c>
      <c r="AI17" s="3" t="s">
        <v>910</v>
      </c>
      <c r="AJ17" s="3">
        <v>2400</v>
      </c>
      <c r="AK17" s="3">
        <v>25</v>
      </c>
      <c r="AL17" s="3">
        <v>210</v>
      </c>
      <c r="AM17" s="3">
        <f t="shared" si="0"/>
        <v>8.4</v>
      </c>
      <c r="AN17" s="3" t="s">
        <v>353</v>
      </c>
      <c r="AO17" s="3">
        <v>3</v>
      </c>
      <c r="AP17" s="3" t="s">
        <v>273</v>
      </c>
      <c r="AQ17" s="3" t="s">
        <v>269</v>
      </c>
      <c r="AR17" s="3" t="s">
        <v>269</v>
      </c>
      <c r="AS17" s="3" t="s">
        <v>269</v>
      </c>
      <c r="AT17" s="3" t="s">
        <v>269</v>
      </c>
      <c r="AU17" s="3" t="s">
        <v>1444</v>
      </c>
      <c r="AV17" s="3" t="s">
        <v>269</v>
      </c>
      <c r="AW17" s="3">
        <v>3</v>
      </c>
      <c r="AX17" s="3" t="s">
        <v>273</v>
      </c>
      <c r="AY17" s="3" t="s">
        <v>273</v>
      </c>
      <c r="AZ17" s="3" t="s">
        <v>273</v>
      </c>
      <c r="BA17" s="3" t="s">
        <v>273</v>
      </c>
      <c r="BB17" s="3" t="s">
        <v>273</v>
      </c>
      <c r="BC17" s="3" t="s">
        <v>273</v>
      </c>
      <c r="BD17" t="s">
        <v>273</v>
      </c>
      <c r="BE17" s="3" t="s">
        <v>266</v>
      </c>
      <c r="BF17" s="3" t="s">
        <v>1465</v>
      </c>
      <c r="BG17" s="3" t="s">
        <v>273</v>
      </c>
      <c r="BH17" s="3">
        <v>0.15</v>
      </c>
      <c r="BI17" s="3" t="s">
        <v>273</v>
      </c>
      <c r="BJ17" s="3" t="s">
        <v>273</v>
      </c>
      <c r="BK17" s="3" t="s">
        <v>273</v>
      </c>
      <c r="BL17" t="s">
        <v>1073</v>
      </c>
      <c r="BM17">
        <v>7</v>
      </c>
      <c r="BN17" s="3">
        <v>29</v>
      </c>
      <c r="BO17" t="s">
        <v>1543</v>
      </c>
      <c r="BP17" s="3" t="s">
        <v>687</v>
      </c>
      <c r="BQ17" s="3" t="s">
        <v>243</v>
      </c>
      <c r="BR17" s="3">
        <v>52.8</v>
      </c>
      <c r="BS17" s="3">
        <v>2.4</v>
      </c>
      <c r="BT17" s="3" t="s">
        <v>1130</v>
      </c>
      <c r="BU17" s="3">
        <v>4</v>
      </c>
      <c r="BV17" s="3" t="s">
        <v>389</v>
      </c>
      <c r="BW17" s="3" t="s">
        <v>1468</v>
      </c>
      <c r="BX17" t="s">
        <v>273</v>
      </c>
      <c r="BY17" s="3" t="s">
        <v>346</v>
      </c>
      <c r="BZ17" t="s">
        <v>736</v>
      </c>
      <c r="CA17" t="s">
        <v>1486</v>
      </c>
      <c r="CB17" t="s">
        <v>1211</v>
      </c>
      <c r="CC17" t="s">
        <v>1186</v>
      </c>
      <c r="CD17" t="s">
        <v>1222</v>
      </c>
      <c r="CE17" t="s">
        <v>1211</v>
      </c>
      <c r="CF17" t="s">
        <v>1211</v>
      </c>
      <c r="CG17" t="s">
        <v>1511</v>
      </c>
      <c r="CH17" t="s">
        <v>1154</v>
      </c>
      <c r="CI17" s="21"/>
      <c r="CK17"/>
      <c r="CN17"/>
      <c r="CO17"/>
      <c r="CP17"/>
      <c r="CQ17"/>
      <c r="CR17"/>
      <c r="CS17"/>
      <c r="CT17"/>
      <c r="CU17"/>
      <c r="CV17"/>
      <c r="CX17"/>
      <c r="CY17"/>
      <c r="CZ17"/>
      <c r="DA17"/>
      <c r="DB17"/>
      <c r="DC17"/>
      <c r="DD17"/>
      <c r="DG17" s="33"/>
    </row>
    <row r="18" spans="1:111" s="3" customFormat="1">
      <c r="A18" s="3" t="s">
        <v>94</v>
      </c>
      <c r="B18" s="3" t="s">
        <v>1329</v>
      </c>
      <c r="C18" s="3">
        <v>2023</v>
      </c>
      <c r="D18" t="s">
        <v>1364</v>
      </c>
      <c r="E18" s="3" t="s">
        <v>97</v>
      </c>
      <c r="F18" s="3">
        <v>20</v>
      </c>
      <c r="G18" s="3" t="s">
        <v>273</v>
      </c>
      <c r="H18" s="3" t="s">
        <v>273</v>
      </c>
      <c r="I18" s="3">
        <v>67.349999999999994</v>
      </c>
      <c r="J18" s="3">
        <v>8</v>
      </c>
      <c r="K18" s="3">
        <v>18.100000000000001</v>
      </c>
      <c r="L18" s="3">
        <v>9.2200000000000006</v>
      </c>
      <c r="M18" s="3" t="s">
        <v>273</v>
      </c>
      <c r="N18" s="3" t="s">
        <v>273</v>
      </c>
      <c r="O18" s="3" t="s">
        <v>273</v>
      </c>
      <c r="P18" s="3" t="s">
        <v>273</v>
      </c>
      <c r="Q18" s="3" t="s">
        <v>273</v>
      </c>
      <c r="R18" s="3" t="s">
        <v>273</v>
      </c>
      <c r="S18" s="3">
        <v>1.7</v>
      </c>
      <c r="T18" s="3">
        <v>0.47</v>
      </c>
      <c r="U18" s="3" t="s">
        <v>273</v>
      </c>
      <c r="V18" s="3" t="s">
        <v>273</v>
      </c>
      <c r="W18" s="3" t="s">
        <v>273</v>
      </c>
      <c r="X18" s="3" t="s">
        <v>273</v>
      </c>
      <c r="Y18" s="3" t="s">
        <v>289</v>
      </c>
      <c r="Z18" s="3">
        <v>19</v>
      </c>
      <c r="AA18" s="3">
        <v>62.84</v>
      </c>
      <c r="AB18" s="3">
        <v>10.5</v>
      </c>
      <c r="AC18" s="3" t="s">
        <v>527</v>
      </c>
      <c r="AD18" s="3" t="s">
        <v>1248</v>
      </c>
      <c r="AE18" s="3" t="s">
        <v>1278</v>
      </c>
      <c r="AF18" s="3" t="s">
        <v>921</v>
      </c>
      <c r="AG18" s="3" t="s">
        <v>242</v>
      </c>
      <c r="AH18" s="3" t="s">
        <v>1432</v>
      </c>
      <c r="AI18" s="3" t="s">
        <v>910</v>
      </c>
      <c r="AJ18">
        <v>2400</v>
      </c>
      <c r="AK18" s="3">
        <v>25</v>
      </c>
      <c r="AL18" s="3">
        <v>210</v>
      </c>
      <c r="AM18" s="3">
        <f t="shared" ref="AM18" si="5">AJ18*AL18/60000</f>
        <v>8.4</v>
      </c>
      <c r="AN18" s="3" t="s">
        <v>353</v>
      </c>
      <c r="AO18" s="3">
        <v>3</v>
      </c>
      <c r="AP18" s="3" t="s">
        <v>273</v>
      </c>
      <c r="AQ18" s="3" t="s">
        <v>269</v>
      </c>
      <c r="AR18" s="3" t="s">
        <v>269</v>
      </c>
      <c r="AS18" s="3" t="s">
        <v>269</v>
      </c>
      <c r="AT18" s="3" t="s">
        <v>269</v>
      </c>
      <c r="AU18" s="3" t="s">
        <v>1444</v>
      </c>
      <c r="AV18" s="3" t="s">
        <v>269</v>
      </c>
      <c r="AW18" s="3">
        <v>3</v>
      </c>
      <c r="AX18" s="3" t="s">
        <v>273</v>
      </c>
      <c r="AY18" s="3" t="s">
        <v>273</v>
      </c>
      <c r="AZ18" s="3" t="s">
        <v>273</v>
      </c>
      <c r="BA18" s="3" t="s">
        <v>273</v>
      </c>
      <c r="BB18" s="3" t="s">
        <v>273</v>
      </c>
      <c r="BC18" s="3" t="s">
        <v>273</v>
      </c>
      <c r="BD18" t="s">
        <v>273</v>
      </c>
      <c r="BE18" s="3" t="s">
        <v>266</v>
      </c>
      <c r="BF18" s="3" t="s">
        <v>1465</v>
      </c>
      <c r="BG18" s="3" t="s">
        <v>273</v>
      </c>
      <c r="BH18" s="3">
        <v>0.15</v>
      </c>
      <c r="BI18" s="3" t="s">
        <v>273</v>
      </c>
      <c r="BJ18" s="3" t="s">
        <v>273</v>
      </c>
      <c r="BK18" s="3" t="s">
        <v>273</v>
      </c>
      <c r="BL18" t="s">
        <v>1073</v>
      </c>
      <c r="BM18">
        <v>7</v>
      </c>
      <c r="BN18" s="3">
        <v>29</v>
      </c>
      <c r="BO18" t="s">
        <v>1543</v>
      </c>
      <c r="BP18" s="3" t="s">
        <v>687</v>
      </c>
      <c r="BQ18" s="3" t="s">
        <v>243</v>
      </c>
      <c r="BR18" s="3">
        <v>52.8</v>
      </c>
      <c r="BS18" s="3">
        <v>2.4</v>
      </c>
      <c r="BT18" s="3" t="s">
        <v>1130</v>
      </c>
      <c r="BU18" s="3">
        <v>4</v>
      </c>
      <c r="BV18" s="3" t="s">
        <v>389</v>
      </c>
      <c r="BW18" s="3" t="s">
        <v>1468</v>
      </c>
      <c r="BX18" t="s">
        <v>273</v>
      </c>
      <c r="BY18" s="3" t="s">
        <v>346</v>
      </c>
      <c r="BZ18" t="s">
        <v>736</v>
      </c>
      <c r="CA18" t="s">
        <v>1486</v>
      </c>
      <c r="CB18" t="s">
        <v>1211</v>
      </c>
      <c r="CC18" t="s">
        <v>1186</v>
      </c>
      <c r="CD18" t="s">
        <v>1222</v>
      </c>
      <c r="CE18" t="s">
        <v>1211</v>
      </c>
      <c r="CF18" t="s">
        <v>1211</v>
      </c>
      <c r="CG18" t="s">
        <v>1511</v>
      </c>
      <c r="CH18" t="s">
        <v>1154</v>
      </c>
      <c r="CI18" s="21"/>
      <c r="CK18"/>
      <c r="CL18"/>
      <c r="CM18"/>
      <c r="CN18"/>
      <c r="CO18"/>
      <c r="CP18"/>
      <c r="CQ18"/>
      <c r="CR18"/>
      <c r="CS18"/>
      <c r="CT18"/>
      <c r="CU18"/>
      <c r="CV18"/>
      <c r="CW18"/>
      <c r="CX18"/>
      <c r="CY18"/>
      <c r="CZ18"/>
      <c r="DA18"/>
      <c r="DB18"/>
      <c r="DC18"/>
      <c r="DD18"/>
      <c r="DF18"/>
      <c r="DG18" s="33"/>
    </row>
    <row r="19" spans="1:111">
      <c r="A19" t="s">
        <v>98</v>
      </c>
      <c r="B19" t="s">
        <v>1330</v>
      </c>
      <c r="C19">
        <v>2025</v>
      </c>
      <c r="D19" t="s">
        <v>1359</v>
      </c>
      <c r="E19" t="s">
        <v>100</v>
      </c>
      <c r="F19">
        <v>25</v>
      </c>
      <c r="G19" t="s">
        <v>273</v>
      </c>
      <c r="H19" t="s">
        <v>273</v>
      </c>
      <c r="I19">
        <v>64.48</v>
      </c>
      <c r="J19">
        <v>13.1</v>
      </c>
      <c r="K19" t="s">
        <v>273</v>
      </c>
      <c r="L19" t="s">
        <v>273</v>
      </c>
      <c r="M19" t="s">
        <v>273</v>
      </c>
      <c r="N19" t="s">
        <v>273</v>
      </c>
      <c r="O19">
        <v>45.74</v>
      </c>
      <c r="P19">
        <v>15.07</v>
      </c>
      <c r="Q19" t="s">
        <v>273</v>
      </c>
      <c r="R19" t="s">
        <v>273</v>
      </c>
      <c r="S19" t="s">
        <v>273</v>
      </c>
      <c r="T19" t="s">
        <v>273</v>
      </c>
      <c r="U19" t="s">
        <v>273</v>
      </c>
      <c r="V19" t="s">
        <v>273</v>
      </c>
      <c r="W19" t="s">
        <v>273</v>
      </c>
      <c r="X19" t="s">
        <v>273</v>
      </c>
      <c r="Y19" t="s">
        <v>289</v>
      </c>
      <c r="Z19">
        <v>32</v>
      </c>
      <c r="AA19" t="s">
        <v>273</v>
      </c>
      <c r="AB19" t="s">
        <v>273</v>
      </c>
      <c r="AC19" t="s">
        <v>331</v>
      </c>
      <c r="AD19" t="s">
        <v>1274</v>
      </c>
      <c r="AE19" t="s">
        <v>1109</v>
      </c>
      <c r="AF19" t="s">
        <v>272</v>
      </c>
      <c r="AG19" t="s">
        <v>1412</v>
      </c>
      <c r="AH19" t="s">
        <v>1432</v>
      </c>
      <c r="AI19" t="s">
        <v>910</v>
      </c>
      <c r="AJ19">
        <v>750</v>
      </c>
      <c r="AK19">
        <v>30</v>
      </c>
      <c r="AL19">
        <v>495</v>
      </c>
      <c r="AM19">
        <f>AJ19*AL19/60000</f>
        <v>6.1875</v>
      </c>
      <c r="AN19" t="s">
        <v>366</v>
      </c>
      <c r="AO19">
        <v>3</v>
      </c>
      <c r="AP19" t="s">
        <v>273</v>
      </c>
      <c r="AQ19" t="s">
        <v>269</v>
      </c>
      <c r="AR19" t="s">
        <v>269</v>
      </c>
      <c r="AS19" t="s">
        <v>269</v>
      </c>
      <c r="AT19" t="s">
        <v>269</v>
      </c>
      <c r="AU19" t="s">
        <v>269</v>
      </c>
      <c r="AV19" t="s">
        <v>269</v>
      </c>
      <c r="AW19">
        <v>3</v>
      </c>
      <c r="AX19" t="s">
        <v>273</v>
      </c>
      <c r="AY19" t="s">
        <v>273</v>
      </c>
      <c r="AZ19" t="s">
        <v>273</v>
      </c>
      <c r="BA19" t="s">
        <v>273</v>
      </c>
      <c r="BB19" t="s">
        <v>273</v>
      </c>
      <c r="BC19" t="s">
        <v>1454</v>
      </c>
      <c r="BD19" t="s">
        <v>273</v>
      </c>
      <c r="BE19" t="s">
        <v>266</v>
      </c>
      <c r="BF19" t="s">
        <v>273</v>
      </c>
      <c r="BG19" t="s">
        <v>273</v>
      </c>
      <c r="BH19" t="s">
        <v>273</v>
      </c>
      <c r="BI19" t="s">
        <v>273</v>
      </c>
      <c r="BJ19" t="s">
        <v>273</v>
      </c>
      <c r="BK19" t="s">
        <v>273</v>
      </c>
      <c r="BL19" t="s">
        <v>1073</v>
      </c>
      <c r="BM19">
        <v>10</v>
      </c>
      <c r="BN19">
        <v>19</v>
      </c>
      <c r="BO19" t="s">
        <v>1544</v>
      </c>
      <c r="BP19" s="3" t="s">
        <v>687</v>
      </c>
      <c r="BQ19" s="3" t="s">
        <v>243</v>
      </c>
      <c r="BR19">
        <v>30</v>
      </c>
      <c r="BS19">
        <v>0.75</v>
      </c>
      <c r="BT19" s="3" t="s">
        <v>1130</v>
      </c>
      <c r="BU19" t="s">
        <v>1131</v>
      </c>
      <c r="BV19" t="s">
        <v>736</v>
      </c>
      <c r="BW19" s="3" t="s">
        <v>1468</v>
      </c>
      <c r="BX19" t="s">
        <v>1471</v>
      </c>
      <c r="BY19" t="s">
        <v>736</v>
      </c>
      <c r="BZ19" t="s">
        <v>736</v>
      </c>
      <c r="CA19" t="s">
        <v>1487</v>
      </c>
      <c r="CB19" t="s">
        <v>1524</v>
      </c>
      <c r="CC19" t="s">
        <v>1211</v>
      </c>
      <c r="CD19" t="s">
        <v>1222</v>
      </c>
      <c r="CE19" t="s">
        <v>1203</v>
      </c>
      <c r="CF19" t="s">
        <v>1219</v>
      </c>
      <c r="CG19" t="s">
        <v>1249</v>
      </c>
      <c r="CH19" t="s">
        <v>1047</v>
      </c>
      <c r="DC19" s="2"/>
      <c r="DF19" s="2"/>
      <c r="DG19" s="33"/>
    </row>
    <row r="20" spans="1:111">
      <c r="A20" t="s">
        <v>98</v>
      </c>
      <c r="B20" t="s">
        <v>1330</v>
      </c>
      <c r="C20">
        <v>2025</v>
      </c>
      <c r="D20" s="3" t="s">
        <v>1359</v>
      </c>
      <c r="E20" t="s">
        <v>100</v>
      </c>
      <c r="F20">
        <v>53</v>
      </c>
      <c r="G20" t="s">
        <v>273</v>
      </c>
      <c r="H20" t="s">
        <v>273</v>
      </c>
      <c r="I20">
        <v>62.36</v>
      </c>
      <c r="J20">
        <v>8.2899999999999991</v>
      </c>
      <c r="K20" t="s">
        <v>273</v>
      </c>
      <c r="L20" t="s">
        <v>273</v>
      </c>
      <c r="M20" t="s">
        <v>273</v>
      </c>
      <c r="N20" t="s">
        <v>273</v>
      </c>
      <c r="O20">
        <v>39.479999999999997</v>
      </c>
      <c r="P20">
        <v>14.1</v>
      </c>
      <c r="Q20" t="s">
        <v>273</v>
      </c>
      <c r="R20" t="s">
        <v>273</v>
      </c>
      <c r="S20" t="s">
        <v>273</v>
      </c>
      <c r="T20" t="s">
        <v>273</v>
      </c>
      <c r="U20" t="s">
        <v>273</v>
      </c>
      <c r="V20" t="s">
        <v>273</v>
      </c>
      <c r="W20" t="s">
        <v>273</v>
      </c>
      <c r="X20" t="s">
        <v>273</v>
      </c>
      <c r="Y20" t="s">
        <v>289</v>
      </c>
      <c r="Z20">
        <v>32</v>
      </c>
      <c r="AA20" t="s">
        <v>273</v>
      </c>
      <c r="AB20" t="s">
        <v>273</v>
      </c>
      <c r="AC20" t="s">
        <v>331</v>
      </c>
      <c r="AD20" t="s">
        <v>1274</v>
      </c>
      <c r="AE20" t="s">
        <v>1109</v>
      </c>
      <c r="AF20" t="s">
        <v>272</v>
      </c>
      <c r="AG20" t="s">
        <v>1412</v>
      </c>
      <c r="AH20" t="s">
        <v>1432</v>
      </c>
      <c r="AI20" t="s">
        <v>910</v>
      </c>
      <c r="AJ20">
        <v>750</v>
      </c>
      <c r="AK20">
        <v>30</v>
      </c>
      <c r="AL20">
        <v>495</v>
      </c>
      <c r="AM20">
        <f>AJ20*AL20/60000</f>
        <v>6.1875</v>
      </c>
      <c r="AN20" t="s">
        <v>366</v>
      </c>
      <c r="AO20">
        <v>3</v>
      </c>
      <c r="AP20" t="s">
        <v>273</v>
      </c>
      <c r="AQ20" t="s">
        <v>269</v>
      </c>
      <c r="AR20" t="s">
        <v>269</v>
      </c>
      <c r="AS20" t="s">
        <v>269</v>
      </c>
      <c r="AT20" t="s">
        <v>269</v>
      </c>
      <c r="AU20" t="s">
        <v>269</v>
      </c>
      <c r="AV20" t="s">
        <v>269</v>
      </c>
      <c r="AW20">
        <v>3</v>
      </c>
      <c r="AX20" t="s">
        <v>273</v>
      </c>
      <c r="AY20" t="s">
        <v>273</v>
      </c>
      <c r="AZ20" t="s">
        <v>273</v>
      </c>
      <c r="BA20" t="s">
        <v>273</v>
      </c>
      <c r="BB20" t="s">
        <v>273</v>
      </c>
      <c r="BC20" t="s">
        <v>1454</v>
      </c>
      <c r="BD20" t="s">
        <v>273</v>
      </c>
      <c r="BE20" t="s">
        <v>266</v>
      </c>
      <c r="BF20" t="s">
        <v>273</v>
      </c>
      <c r="BG20" t="s">
        <v>273</v>
      </c>
      <c r="BH20" t="s">
        <v>273</v>
      </c>
      <c r="BI20" t="s">
        <v>273</v>
      </c>
      <c r="BJ20" t="s">
        <v>273</v>
      </c>
      <c r="BK20" t="s">
        <v>273</v>
      </c>
      <c r="BL20" t="s">
        <v>1073</v>
      </c>
      <c r="BM20">
        <v>10</v>
      </c>
      <c r="BN20">
        <v>19</v>
      </c>
      <c r="BO20" t="s">
        <v>1544</v>
      </c>
      <c r="BP20" s="3" t="s">
        <v>687</v>
      </c>
      <c r="BQ20" s="3" t="s">
        <v>243</v>
      </c>
      <c r="BR20">
        <v>30</v>
      </c>
      <c r="BS20">
        <v>0.75</v>
      </c>
      <c r="BT20" s="3" t="s">
        <v>1130</v>
      </c>
      <c r="BU20" t="s">
        <v>1131</v>
      </c>
      <c r="BV20" t="s">
        <v>736</v>
      </c>
      <c r="BW20" s="3" t="s">
        <v>1468</v>
      </c>
      <c r="BX20" t="s">
        <v>1471</v>
      </c>
      <c r="BY20" t="s">
        <v>736</v>
      </c>
      <c r="BZ20" t="s">
        <v>736</v>
      </c>
      <c r="CA20" t="s">
        <v>1487</v>
      </c>
      <c r="CB20" t="s">
        <v>1524</v>
      </c>
      <c r="CC20" t="s">
        <v>1211</v>
      </c>
      <c r="CD20" t="s">
        <v>1222</v>
      </c>
      <c r="CE20" t="s">
        <v>1203</v>
      </c>
      <c r="CF20" t="s">
        <v>1219</v>
      </c>
      <c r="CG20" t="s">
        <v>1249</v>
      </c>
      <c r="CH20" t="s">
        <v>1047</v>
      </c>
      <c r="DC20" s="2"/>
      <c r="DG20" s="33"/>
    </row>
    <row r="21" spans="1:111" s="3" customFormat="1">
      <c r="A21" s="3" t="s">
        <v>101</v>
      </c>
      <c r="B21" s="3" t="s">
        <v>1331</v>
      </c>
      <c r="C21" s="3">
        <v>2021</v>
      </c>
      <c r="D21" s="3" t="s">
        <v>1362</v>
      </c>
      <c r="E21" s="3" t="s">
        <v>103</v>
      </c>
      <c r="F21" s="3">
        <v>29</v>
      </c>
      <c r="G21" s="3" t="s">
        <v>273</v>
      </c>
      <c r="H21" s="3" t="s">
        <v>273</v>
      </c>
      <c r="I21" s="3">
        <v>63.96</v>
      </c>
      <c r="J21" s="3">
        <v>7.73</v>
      </c>
      <c r="K21" s="3">
        <v>25.48</v>
      </c>
      <c r="L21" s="3">
        <v>8.77</v>
      </c>
      <c r="M21" s="3" t="s">
        <v>273</v>
      </c>
      <c r="N21" s="3" t="s">
        <v>273</v>
      </c>
      <c r="O21" s="3" t="s">
        <v>273</v>
      </c>
      <c r="P21" s="3" t="s">
        <v>273</v>
      </c>
      <c r="Q21" s="3" t="s">
        <v>273</v>
      </c>
      <c r="R21" s="3" t="s">
        <v>273</v>
      </c>
      <c r="S21" s="3" t="s">
        <v>273</v>
      </c>
      <c r="T21" s="3" t="s">
        <v>273</v>
      </c>
      <c r="U21" s="3">
        <v>2</v>
      </c>
      <c r="V21" s="23" t="s">
        <v>1402</v>
      </c>
      <c r="W21" s="3" t="s">
        <v>273</v>
      </c>
      <c r="X21" s="3" t="s">
        <v>273</v>
      </c>
      <c r="Y21" s="3" t="s">
        <v>289</v>
      </c>
      <c r="Z21" s="3">
        <v>20</v>
      </c>
      <c r="AA21" s="3">
        <v>64.400000000000006</v>
      </c>
      <c r="AB21" s="3">
        <v>8.07</v>
      </c>
      <c r="AC21" s="3" t="s">
        <v>331</v>
      </c>
      <c r="AD21" s="3" t="s">
        <v>1273</v>
      </c>
      <c r="AE21" s="3" t="s">
        <v>1279</v>
      </c>
      <c r="AF21" s="3" t="s">
        <v>921</v>
      </c>
      <c r="AG21" s="3" t="s">
        <v>242</v>
      </c>
      <c r="AH21" s="3" t="s">
        <v>1432</v>
      </c>
      <c r="AI21" s="3" t="s">
        <v>910</v>
      </c>
      <c r="AJ21" s="3">
        <v>2400</v>
      </c>
      <c r="AK21" s="3">
        <v>25</v>
      </c>
      <c r="AL21" s="3">
        <v>210</v>
      </c>
      <c r="AM21" s="3">
        <f t="shared" si="0"/>
        <v>8.4</v>
      </c>
      <c r="AN21" s="3" t="s">
        <v>353</v>
      </c>
      <c r="AO21" s="3">
        <v>3</v>
      </c>
      <c r="AP21" s="3" t="s">
        <v>271</v>
      </c>
      <c r="AQ21" s="3" t="s">
        <v>269</v>
      </c>
      <c r="AR21" s="3" t="s">
        <v>269</v>
      </c>
      <c r="AS21" s="3" t="s">
        <v>269</v>
      </c>
      <c r="AT21" s="3" t="s">
        <v>1444</v>
      </c>
      <c r="AU21" s="3" t="s">
        <v>1444</v>
      </c>
      <c r="AV21" s="3" t="s">
        <v>269</v>
      </c>
      <c r="AW21" s="3">
        <v>3</v>
      </c>
      <c r="AX21" s="3" t="s">
        <v>273</v>
      </c>
      <c r="AY21" s="3" t="s">
        <v>273</v>
      </c>
      <c r="AZ21" s="3">
        <v>3</v>
      </c>
      <c r="BA21" s="3">
        <v>3</v>
      </c>
      <c r="BB21" s="3" t="s">
        <v>273</v>
      </c>
      <c r="BC21" s="3" t="s">
        <v>1454</v>
      </c>
      <c r="BD21" t="s">
        <v>273</v>
      </c>
      <c r="BE21" s="3" t="s">
        <v>386</v>
      </c>
      <c r="BF21" s="3" t="s">
        <v>1465</v>
      </c>
      <c r="BG21" s="3" t="s">
        <v>273</v>
      </c>
      <c r="BH21" s="3">
        <v>0.15</v>
      </c>
      <c r="BI21" s="3" t="s">
        <v>273</v>
      </c>
      <c r="BJ21" s="3" t="s">
        <v>273</v>
      </c>
      <c r="BK21" s="3" t="s">
        <v>273</v>
      </c>
      <c r="BL21" t="s">
        <v>1073</v>
      </c>
      <c r="BM21">
        <v>6</v>
      </c>
      <c r="BN21" s="3">
        <v>16</v>
      </c>
      <c r="BO21" t="s">
        <v>1545</v>
      </c>
      <c r="BP21" s="3" t="s">
        <v>687</v>
      </c>
      <c r="BQ21" s="3" t="s">
        <v>243</v>
      </c>
      <c r="BR21" s="3">
        <v>48</v>
      </c>
      <c r="BS21" s="3">
        <v>2.4</v>
      </c>
      <c r="BT21" s="3" t="s">
        <v>1130</v>
      </c>
      <c r="BU21">
        <v>4</v>
      </c>
      <c r="BV21" s="3" t="s">
        <v>389</v>
      </c>
      <c r="BW21" s="3" t="s">
        <v>1468</v>
      </c>
      <c r="BX21" t="s">
        <v>1471</v>
      </c>
      <c r="BY21" s="3" t="s">
        <v>346</v>
      </c>
      <c r="BZ21" t="s">
        <v>736</v>
      </c>
      <c r="CA21" t="s">
        <v>1488</v>
      </c>
      <c r="CB21" t="s">
        <v>1223</v>
      </c>
      <c r="CC21" t="s">
        <v>1525</v>
      </c>
      <c r="CD21" t="s">
        <v>1224</v>
      </c>
      <c r="CE21" t="s">
        <v>1211</v>
      </c>
      <c r="CF21" t="s">
        <v>1211</v>
      </c>
      <c r="CG21" t="s">
        <v>1250</v>
      </c>
      <c r="CH21" t="s">
        <v>1155</v>
      </c>
      <c r="CI21" s="21"/>
      <c r="CK21"/>
      <c r="CP21"/>
      <c r="CQ21"/>
      <c r="CS21"/>
      <c r="CT21"/>
      <c r="CU21"/>
      <c r="CV21"/>
      <c r="CW21"/>
      <c r="CX21"/>
      <c r="CY21"/>
      <c r="CZ21"/>
      <c r="DA21"/>
      <c r="DB21"/>
      <c r="DC21" s="4"/>
      <c r="DD21" s="8"/>
      <c r="DE21"/>
      <c r="DF21"/>
      <c r="DG21" s="33"/>
    </row>
    <row r="22" spans="1:111" s="3" customFormat="1">
      <c r="A22" s="3" t="s">
        <v>101</v>
      </c>
      <c r="B22" s="3" t="s">
        <v>1331</v>
      </c>
      <c r="C22" s="3">
        <v>2021</v>
      </c>
      <c r="D22" t="s">
        <v>1362</v>
      </c>
      <c r="E22" s="3" t="s">
        <v>103</v>
      </c>
      <c r="F22" s="3">
        <v>85</v>
      </c>
      <c r="G22" s="3" t="s">
        <v>273</v>
      </c>
      <c r="H22" s="3" t="s">
        <v>273</v>
      </c>
      <c r="I22" s="3">
        <v>59.36</v>
      </c>
      <c r="J22" s="3">
        <v>9.8699999999999992</v>
      </c>
      <c r="K22" s="3">
        <v>18.84</v>
      </c>
      <c r="L22" s="3">
        <v>10.42</v>
      </c>
      <c r="M22" s="3" t="s">
        <v>273</v>
      </c>
      <c r="N22" s="3" t="s">
        <v>273</v>
      </c>
      <c r="O22" s="3" t="s">
        <v>273</v>
      </c>
      <c r="P22" s="3" t="s">
        <v>273</v>
      </c>
      <c r="Q22" s="3" t="s">
        <v>273</v>
      </c>
      <c r="R22" s="3" t="s">
        <v>273</v>
      </c>
      <c r="S22" s="3" t="s">
        <v>273</v>
      </c>
      <c r="T22" s="3" t="s">
        <v>273</v>
      </c>
      <c r="U22" s="3">
        <v>2</v>
      </c>
      <c r="V22" s="23" t="s">
        <v>1403</v>
      </c>
      <c r="W22" s="3" t="s">
        <v>273</v>
      </c>
      <c r="X22" s="3" t="s">
        <v>273</v>
      </c>
      <c r="Y22" s="3" t="s">
        <v>289</v>
      </c>
      <c r="Z22" s="3">
        <v>20</v>
      </c>
      <c r="AA22" s="3">
        <v>64.400000000000006</v>
      </c>
      <c r="AB22" s="3">
        <v>8.07</v>
      </c>
      <c r="AC22" s="3" t="s">
        <v>331</v>
      </c>
      <c r="AD22" s="3" t="s">
        <v>1273</v>
      </c>
      <c r="AE22" s="3" t="s">
        <v>1279</v>
      </c>
      <c r="AF22" s="3" t="s">
        <v>921</v>
      </c>
      <c r="AG22" s="3" t="s">
        <v>242</v>
      </c>
      <c r="AH22" s="3" t="s">
        <v>1432</v>
      </c>
      <c r="AI22" s="3" t="s">
        <v>910</v>
      </c>
      <c r="AJ22" s="3">
        <v>2400</v>
      </c>
      <c r="AK22" s="3">
        <v>25</v>
      </c>
      <c r="AL22" s="3">
        <v>210</v>
      </c>
      <c r="AM22" s="3">
        <f t="shared" ref="AM22" si="6">AJ22*AL22/60000</f>
        <v>8.4</v>
      </c>
      <c r="AN22" s="3" t="s">
        <v>353</v>
      </c>
      <c r="AO22" s="3">
        <v>3</v>
      </c>
      <c r="AP22" s="3" t="s">
        <v>271</v>
      </c>
      <c r="AQ22" s="3" t="s">
        <v>269</v>
      </c>
      <c r="AR22" s="3" t="s">
        <v>269</v>
      </c>
      <c r="AS22" s="3" t="s">
        <v>269</v>
      </c>
      <c r="AT22" s="3" t="s">
        <v>1444</v>
      </c>
      <c r="AU22" s="3" t="s">
        <v>1444</v>
      </c>
      <c r="AV22" s="3" t="s">
        <v>269</v>
      </c>
      <c r="AW22" s="3">
        <v>3</v>
      </c>
      <c r="AX22" s="3" t="s">
        <v>273</v>
      </c>
      <c r="AY22" s="3" t="s">
        <v>273</v>
      </c>
      <c r="AZ22" s="3">
        <v>3</v>
      </c>
      <c r="BA22" s="3">
        <v>3</v>
      </c>
      <c r="BB22" s="3" t="s">
        <v>273</v>
      </c>
      <c r="BC22" s="3" t="s">
        <v>1454</v>
      </c>
      <c r="BD22" t="s">
        <v>273</v>
      </c>
      <c r="BE22" s="3" t="s">
        <v>386</v>
      </c>
      <c r="BF22" s="3" t="s">
        <v>1465</v>
      </c>
      <c r="BG22" s="3" t="s">
        <v>273</v>
      </c>
      <c r="BH22" s="3">
        <v>0.15</v>
      </c>
      <c r="BI22" s="3" t="s">
        <v>273</v>
      </c>
      <c r="BJ22" s="3" t="s">
        <v>273</v>
      </c>
      <c r="BK22" s="3" t="s">
        <v>273</v>
      </c>
      <c r="BL22" t="s">
        <v>1073</v>
      </c>
      <c r="BM22">
        <v>6</v>
      </c>
      <c r="BN22" s="3">
        <v>16</v>
      </c>
      <c r="BO22" t="s">
        <v>1545</v>
      </c>
      <c r="BP22" s="3" t="s">
        <v>687</v>
      </c>
      <c r="BQ22" s="3" t="s">
        <v>243</v>
      </c>
      <c r="BR22" s="3">
        <v>48</v>
      </c>
      <c r="BS22" s="3">
        <v>2.4</v>
      </c>
      <c r="BT22" s="3" t="s">
        <v>1130</v>
      </c>
      <c r="BU22">
        <v>4</v>
      </c>
      <c r="BV22" s="3" t="s">
        <v>389</v>
      </c>
      <c r="BW22" s="3" t="s">
        <v>1468</v>
      </c>
      <c r="BX22" t="s">
        <v>1471</v>
      </c>
      <c r="BY22" s="3" t="s">
        <v>346</v>
      </c>
      <c r="BZ22" t="s">
        <v>736</v>
      </c>
      <c r="CA22" t="s">
        <v>1488</v>
      </c>
      <c r="CB22" t="s">
        <v>1223</v>
      </c>
      <c r="CC22" t="s">
        <v>1525</v>
      </c>
      <c r="CD22" t="s">
        <v>1224</v>
      </c>
      <c r="CE22" t="s">
        <v>1211</v>
      </c>
      <c r="CF22" t="s">
        <v>1211</v>
      </c>
      <c r="CG22" t="s">
        <v>1250</v>
      </c>
      <c r="CH22" t="s">
        <v>1155</v>
      </c>
      <c r="CI22" s="21"/>
      <c r="CK22"/>
      <c r="CL22"/>
      <c r="CM22"/>
      <c r="CN22"/>
      <c r="CO22"/>
      <c r="CP22"/>
      <c r="CQ22"/>
      <c r="CR22"/>
      <c r="CS22"/>
      <c r="CT22"/>
      <c r="CU22"/>
      <c r="CV22"/>
      <c r="CW22"/>
      <c r="CX22"/>
      <c r="CY22"/>
      <c r="CZ22"/>
      <c r="DA22"/>
      <c r="DB22"/>
      <c r="DC22" s="4"/>
      <c r="DD22" s="8"/>
      <c r="DE22"/>
      <c r="DF22"/>
      <c r="DG22" s="33"/>
    </row>
    <row r="23" spans="1:111">
      <c r="A23" t="s">
        <v>104</v>
      </c>
      <c r="B23" t="s">
        <v>1332</v>
      </c>
      <c r="C23">
        <v>2019</v>
      </c>
      <c r="D23" t="s">
        <v>1357</v>
      </c>
      <c r="E23" t="s">
        <v>106</v>
      </c>
      <c r="F23">
        <v>52</v>
      </c>
      <c r="G23" t="s">
        <v>273</v>
      </c>
      <c r="H23" t="s">
        <v>273</v>
      </c>
      <c r="I23">
        <v>58.63</v>
      </c>
      <c r="J23">
        <v>9.58</v>
      </c>
      <c r="K23">
        <v>16.41</v>
      </c>
      <c r="L23">
        <v>8.5299999999999994</v>
      </c>
      <c r="M23" t="s">
        <v>273</v>
      </c>
      <c r="N23" t="s">
        <v>273</v>
      </c>
      <c r="O23" t="s">
        <v>273</v>
      </c>
      <c r="P23" t="s">
        <v>273</v>
      </c>
      <c r="Q23" t="s">
        <v>273</v>
      </c>
      <c r="R23" t="s">
        <v>273</v>
      </c>
      <c r="S23" t="s">
        <v>273</v>
      </c>
      <c r="T23" t="s">
        <v>273</v>
      </c>
      <c r="U23" t="s">
        <v>273</v>
      </c>
      <c r="V23" t="s">
        <v>273</v>
      </c>
      <c r="W23" t="s">
        <v>273</v>
      </c>
      <c r="X23" t="s">
        <v>273</v>
      </c>
      <c r="Y23" t="s">
        <v>290</v>
      </c>
      <c r="Z23">
        <v>35</v>
      </c>
      <c r="AA23">
        <v>61.29</v>
      </c>
      <c r="AB23">
        <v>8.98</v>
      </c>
      <c r="AC23" t="s">
        <v>331</v>
      </c>
      <c r="AD23" t="s">
        <v>1274</v>
      </c>
      <c r="AE23" t="s">
        <v>1280</v>
      </c>
      <c r="AF23" t="s">
        <v>272</v>
      </c>
      <c r="AG23" t="s">
        <v>1413</v>
      </c>
      <c r="AH23" t="s">
        <v>1432</v>
      </c>
      <c r="AI23" t="s">
        <v>910</v>
      </c>
      <c r="AJ23">
        <v>1939.4</v>
      </c>
      <c r="AK23">
        <v>45</v>
      </c>
      <c r="AL23">
        <v>240</v>
      </c>
      <c r="AM23">
        <v>8</v>
      </c>
      <c r="AN23" t="s">
        <v>396</v>
      </c>
      <c r="AO23">
        <v>1.5</v>
      </c>
      <c r="AP23" t="s">
        <v>271</v>
      </c>
      <c r="AQ23" t="s">
        <v>269</v>
      </c>
      <c r="AR23" t="s">
        <v>269</v>
      </c>
      <c r="AS23" t="s">
        <v>269</v>
      </c>
      <c r="AT23" t="s">
        <v>1444</v>
      </c>
      <c r="AU23" t="s">
        <v>1444</v>
      </c>
      <c r="AV23" t="s">
        <v>269</v>
      </c>
      <c r="AW23">
        <v>1.5</v>
      </c>
      <c r="AX23">
        <v>0.2</v>
      </c>
      <c r="AY23" t="s">
        <v>273</v>
      </c>
      <c r="AZ23" t="s">
        <v>273</v>
      </c>
      <c r="BA23" t="s">
        <v>273</v>
      </c>
      <c r="BB23">
        <v>30</v>
      </c>
      <c r="BC23" t="s">
        <v>1455</v>
      </c>
      <c r="BD23" t="s">
        <v>273</v>
      </c>
      <c r="BE23" t="s">
        <v>266</v>
      </c>
      <c r="BF23" t="s">
        <v>1465</v>
      </c>
      <c r="BG23" t="s">
        <v>273</v>
      </c>
      <c r="BH23">
        <v>0.15</v>
      </c>
      <c r="BI23" t="s">
        <v>273</v>
      </c>
      <c r="BJ23" t="s">
        <v>273</v>
      </c>
      <c r="BK23" t="s">
        <v>273</v>
      </c>
      <c r="BL23" t="s">
        <v>1073</v>
      </c>
      <c r="BM23">
        <v>7</v>
      </c>
      <c r="BN23">
        <v>35</v>
      </c>
      <c r="BO23" t="s">
        <v>1539</v>
      </c>
      <c r="BP23" s="3" t="s">
        <v>687</v>
      </c>
      <c r="BQ23" s="3" t="s">
        <v>243</v>
      </c>
      <c r="BR23">
        <v>44</v>
      </c>
      <c r="BS23">
        <v>1.9394</v>
      </c>
      <c r="BT23" s="3" t="s">
        <v>1130</v>
      </c>
      <c r="BU23">
        <v>2</v>
      </c>
      <c r="BV23" t="s">
        <v>1133</v>
      </c>
      <c r="BW23" s="3" t="s">
        <v>1468</v>
      </c>
      <c r="BX23" t="s">
        <v>273</v>
      </c>
      <c r="BY23" t="s">
        <v>285</v>
      </c>
      <c r="BZ23" t="s">
        <v>736</v>
      </c>
      <c r="CA23" t="s">
        <v>1489</v>
      </c>
      <c r="CB23" t="s">
        <v>1187</v>
      </c>
      <c r="CC23" t="s">
        <v>1225</v>
      </c>
      <c r="CD23" t="s">
        <v>1218</v>
      </c>
      <c r="CE23" t="s">
        <v>1226</v>
      </c>
      <c r="CF23" t="s">
        <v>1219</v>
      </c>
      <c r="CG23" t="s">
        <v>1512</v>
      </c>
      <c r="CH23" t="s">
        <v>1156</v>
      </c>
      <c r="DC23" s="2"/>
      <c r="DG23" s="33"/>
    </row>
    <row r="24" spans="1:111">
      <c r="A24" t="s">
        <v>104</v>
      </c>
      <c r="B24" t="s">
        <v>1332</v>
      </c>
      <c r="C24">
        <v>2019</v>
      </c>
      <c r="D24" t="s">
        <v>1357</v>
      </c>
      <c r="E24" t="s">
        <v>106</v>
      </c>
      <c r="F24">
        <v>46</v>
      </c>
      <c r="G24" t="s">
        <v>273</v>
      </c>
      <c r="H24" t="s">
        <v>273</v>
      </c>
      <c r="I24">
        <v>65.87</v>
      </c>
      <c r="J24">
        <v>11.37</v>
      </c>
      <c r="K24">
        <v>26.82</v>
      </c>
      <c r="L24">
        <v>15.04</v>
      </c>
      <c r="M24" t="s">
        <v>273</v>
      </c>
      <c r="N24" t="s">
        <v>273</v>
      </c>
      <c r="O24" t="s">
        <v>273</v>
      </c>
      <c r="P24" t="s">
        <v>273</v>
      </c>
      <c r="Q24" t="s">
        <v>273</v>
      </c>
      <c r="R24" t="s">
        <v>273</v>
      </c>
      <c r="S24" t="s">
        <v>273</v>
      </c>
      <c r="T24" t="s">
        <v>273</v>
      </c>
      <c r="U24" t="s">
        <v>273</v>
      </c>
      <c r="V24" t="s">
        <v>273</v>
      </c>
      <c r="W24" t="s">
        <v>273</v>
      </c>
      <c r="X24" t="s">
        <v>273</v>
      </c>
      <c r="Y24" t="s">
        <v>290</v>
      </c>
      <c r="Z24">
        <v>35</v>
      </c>
      <c r="AA24">
        <v>61.29</v>
      </c>
      <c r="AB24">
        <v>8.98</v>
      </c>
      <c r="AC24" t="s">
        <v>331</v>
      </c>
      <c r="AD24" t="s">
        <v>1274</v>
      </c>
      <c r="AE24" t="s">
        <v>1280</v>
      </c>
      <c r="AF24" t="s">
        <v>272</v>
      </c>
      <c r="AG24" t="s">
        <v>1413</v>
      </c>
      <c r="AH24" t="s">
        <v>1432</v>
      </c>
      <c r="AI24" t="s">
        <v>910</v>
      </c>
      <c r="AJ24">
        <v>1939.4</v>
      </c>
      <c r="AK24">
        <v>45</v>
      </c>
      <c r="AL24">
        <v>240</v>
      </c>
      <c r="AM24">
        <v>8</v>
      </c>
      <c r="AN24" t="s">
        <v>396</v>
      </c>
      <c r="AO24">
        <v>1.5</v>
      </c>
      <c r="AP24" t="s">
        <v>271</v>
      </c>
      <c r="AQ24" t="s">
        <v>269</v>
      </c>
      <c r="AR24" t="s">
        <v>269</v>
      </c>
      <c r="AS24" t="s">
        <v>269</v>
      </c>
      <c r="AT24" t="s">
        <v>1444</v>
      </c>
      <c r="AU24" t="s">
        <v>1444</v>
      </c>
      <c r="AV24" t="s">
        <v>269</v>
      </c>
      <c r="AW24">
        <v>1.5</v>
      </c>
      <c r="AX24">
        <v>0.2</v>
      </c>
      <c r="AY24" t="s">
        <v>273</v>
      </c>
      <c r="AZ24" t="s">
        <v>273</v>
      </c>
      <c r="BA24" t="s">
        <v>273</v>
      </c>
      <c r="BB24">
        <v>30</v>
      </c>
      <c r="BC24" t="s">
        <v>1455</v>
      </c>
      <c r="BD24" t="s">
        <v>273</v>
      </c>
      <c r="BE24" t="s">
        <v>266</v>
      </c>
      <c r="BF24" t="s">
        <v>1465</v>
      </c>
      <c r="BG24" t="s">
        <v>273</v>
      </c>
      <c r="BH24">
        <v>0.15</v>
      </c>
      <c r="BI24" t="s">
        <v>273</v>
      </c>
      <c r="BJ24" t="s">
        <v>273</v>
      </c>
      <c r="BK24" t="s">
        <v>273</v>
      </c>
      <c r="BL24" t="s">
        <v>1073</v>
      </c>
      <c r="BM24">
        <v>7</v>
      </c>
      <c r="BN24">
        <v>35</v>
      </c>
      <c r="BO24" t="s">
        <v>1539</v>
      </c>
      <c r="BP24" s="3" t="s">
        <v>687</v>
      </c>
      <c r="BQ24" s="3" t="s">
        <v>243</v>
      </c>
      <c r="BR24">
        <v>44</v>
      </c>
      <c r="BS24">
        <v>1.9394</v>
      </c>
      <c r="BT24" s="3" t="s">
        <v>1130</v>
      </c>
      <c r="BU24">
        <v>2</v>
      </c>
      <c r="BV24" t="s">
        <v>1133</v>
      </c>
      <c r="BW24" s="3" t="s">
        <v>1468</v>
      </c>
      <c r="BX24" t="s">
        <v>273</v>
      </c>
      <c r="BY24" t="s">
        <v>285</v>
      </c>
      <c r="BZ24" t="s">
        <v>736</v>
      </c>
      <c r="CA24" t="s">
        <v>1489</v>
      </c>
      <c r="CB24" t="s">
        <v>1187</v>
      </c>
      <c r="CC24" t="s">
        <v>1225</v>
      </c>
      <c r="CD24" t="s">
        <v>1218</v>
      </c>
      <c r="CE24" t="s">
        <v>1226</v>
      </c>
      <c r="CF24" t="s">
        <v>1219</v>
      </c>
      <c r="CG24" t="s">
        <v>1512</v>
      </c>
      <c r="CH24" t="s">
        <v>1156</v>
      </c>
      <c r="DC24" s="2"/>
      <c r="DG24" s="33"/>
    </row>
    <row r="25" spans="1:111">
      <c r="A25" t="s">
        <v>104</v>
      </c>
      <c r="B25" t="s">
        <v>1332</v>
      </c>
      <c r="C25">
        <v>2019</v>
      </c>
      <c r="D25" s="3" t="s">
        <v>1357</v>
      </c>
      <c r="E25" t="s">
        <v>106</v>
      </c>
      <c r="F25">
        <v>20</v>
      </c>
      <c r="G25" t="s">
        <v>273</v>
      </c>
      <c r="H25" t="s">
        <v>273</v>
      </c>
      <c r="I25">
        <v>71.75</v>
      </c>
      <c r="J25">
        <v>6.62</v>
      </c>
      <c r="K25">
        <v>35.6</v>
      </c>
      <c r="L25">
        <v>16.71</v>
      </c>
      <c r="M25" t="s">
        <v>273</v>
      </c>
      <c r="N25" t="s">
        <v>273</v>
      </c>
      <c r="O25" t="s">
        <v>273</v>
      </c>
      <c r="P25" t="s">
        <v>273</v>
      </c>
      <c r="Q25" t="s">
        <v>273</v>
      </c>
      <c r="R25" t="s">
        <v>273</v>
      </c>
      <c r="S25" t="s">
        <v>273</v>
      </c>
      <c r="T25" t="s">
        <v>273</v>
      </c>
      <c r="U25" t="s">
        <v>273</v>
      </c>
      <c r="V25" t="s">
        <v>273</v>
      </c>
      <c r="W25" t="s">
        <v>273</v>
      </c>
      <c r="X25" t="s">
        <v>273</v>
      </c>
      <c r="Y25" t="s">
        <v>290</v>
      </c>
      <c r="Z25">
        <v>35</v>
      </c>
      <c r="AA25">
        <v>61.29</v>
      </c>
      <c r="AB25">
        <v>8.98</v>
      </c>
      <c r="AC25" t="s">
        <v>331</v>
      </c>
      <c r="AD25" t="s">
        <v>1274</v>
      </c>
      <c r="AE25" t="s">
        <v>1280</v>
      </c>
      <c r="AF25" t="s">
        <v>272</v>
      </c>
      <c r="AG25" t="s">
        <v>1413</v>
      </c>
      <c r="AH25" t="s">
        <v>1432</v>
      </c>
      <c r="AI25" t="s">
        <v>910</v>
      </c>
      <c r="AJ25">
        <v>1939.4</v>
      </c>
      <c r="AK25">
        <v>45</v>
      </c>
      <c r="AL25">
        <v>240</v>
      </c>
      <c r="AM25">
        <v>8</v>
      </c>
      <c r="AN25" t="s">
        <v>396</v>
      </c>
      <c r="AO25">
        <v>1.5</v>
      </c>
      <c r="AP25" t="s">
        <v>271</v>
      </c>
      <c r="AQ25" t="s">
        <v>269</v>
      </c>
      <c r="AR25" t="s">
        <v>269</v>
      </c>
      <c r="AS25" t="s">
        <v>269</v>
      </c>
      <c r="AT25" t="s">
        <v>1444</v>
      </c>
      <c r="AU25" t="s">
        <v>1444</v>
      </c>
      <c r="AV25" t="s">
        <v>269</v>
      </c>
      <c r="AW25">
        <v>1.5</v>
      </c>
      <c r="AX25">
        <v>0.2</v>
      </c>
      <c r="AY25" t="s">
        <v>273</v>
      </c>
      <c r="AZ25" t="s">
        <v>273</v>
      </c>
      <c r="BA25" t="s">
        <v>273</v>
      </c>
      <c r="BB25">
        <v>30</v>
      </c>
      <c r="BC25" t="s">
        <v>1455</v>
      </c>
      <c r="BD25" t="s">
        <v>273</v>
      </c>
      <c r="BE25" t="s">
        <v>266</v>
      </c>
      <c r="BF25" t="s">
        <v>1465</v>
      </c>
      <c r="BG25" t="s">
        <v>273</v>
      </c>
      <c r="BH25">
        <v>0.15</v>
      </c>
      <c r="BI25" t="s">
        <v>273</v>
      </c>
      <c r="BJ25" t="s">
        <v>273</v>
      </c>
      <c r="BK25" t="s">
        <v>273</v>
      </c>
      <c r="BL25" t="s">
        <v>1073</v>
      </c>
      <c r="BM25">
        <v>7</v>
      </c>
      <c r="BN25">
        <v>35</v>
      </c>
      <c r="BO25" t="s">
        <v>1539</v>
      </c>
      <c r="BP25" s="3" t="s">
        <v>687</v>
      </c>
      <c r="BQ25" s="3" t="s">
        <v>243</v>
      </c>
      <c r="BR25">
        <v>44</v>
      </c>
      <c r="BS25">
        <v>1.9394</v>
      </c>
      <c r="BT25" s="3" t="s">
        <v>1130</v>
      </c>
      <c r="BU25">
        <v>2</v>
      </c>
      <c r="BV25" t="s">
        <v>1133</v>
      </c>
      <c r="BW25" s="3" t="s">
        <v>1468</v>
      </c>
      <c r="BX25" t="s">
        <v>273</v>
      </c>
      <c r="BY25" t="s">
        <v>285</v>
      </c>
      <c r="BZ25" t="s">
        <v>736</v>
      </c>
      <c r="CA25" t="s">
        <v>1489</v>
      </c>
      <c r="CB25" t="s">
        <v>1187</v>
      </c>
      <c r="CC25" t="s">
        <v>1225</v>
      </c>
      <c r="CD25" t="s">
        <v>1218</v>
      </c>
      <c r="CE25" t="s">
        <v>1226</v>
      </c>
      <c r="CF25" t="s">
        <v>1219</v>
      </c>
      <c r="CG25" t="s">
        <v>1512</v>
      </c>
      <c r="CH25" t="s">
        <v>1156</v>
      </c>
      <c r="DC25" s="2"/>
      <c r="DG25" s="33"/>
    </row>
    <row r="26" spans="1:111" s="3" customFormat="1">
      <c r="A26" s="3" t="s">
        <v>107</v>
      </c>
      <c r="B26" s="3" t="s">
        <v>1333</v>
      </c>
      <c r="C26" s="3">
        <v>2024</v>
      </c>
      <c r="D26" s="3" t="s">
        <v>1361</v>
      </c>
      <c r="E26" s="3" t="s">
        <v>109</v>
      </c>
      <c r="F26" s="3">
        <v>64</v>
      </c>
      <c r="G26" s="3" t="s">
        <v>273</v>
      </c>
      <c r="H26" s="3" t="s">
        <v>273</v>
      </c>
      <c r="I26" s="3">
        <v>60.13</v>
      </c>
      <c r="J26" s="3">
        <v>9.1999999999999993</v>
      </c>
      <c r="K26" s="3">
        <v>56.8</v>
      </c>
      <c r="L26" s="3">
        <v>20.56</v>
      </c>
      <c r="M26" s="3" t="s">
        <v>273</v>
      </c>
      <c r="N26" s="3" t="s">
        <v>273</v>
      </c>
      <c r="O26" s="3" t="s">
        <v>273</v>
      </c>
      <c r="P26" s="3" t="s">
        <v>273</v>
      </c>
      <c r="Q26" s="3" t="s">
        <v>273</v>
      </c>
      <c r="R26" s="3" t="s">
        <v>273</v>
      </c>
      <c r="S26" s="3">
        <v>2.8</v>
      </c>
      <c r="T26" s="3">
        <v>0.79</v>
      </c>
      <c r="U26" s="3" t="s">
        <v>273</v>
      </c>
      <c r="V26" s="3" t="s">
        <v>273</v>
      </c>
      <c r="W26" s="3" t="s">
        <v>273</v>
      </c>
      <c r="X26" s="3" t="s">
        <v>273</v>
      </c>
      <c r="Y26" s="3" t="s">
        <v>290</v>
      </c>
      <c r="Z26" s="3">
        <v>54</v>
      </c>
      <c r="AA26" s="3">
        <v>59.51</v>
      </c>
      <c r="AB26" s="3">
        <v>6.15</v>
      </c>
      <c r="AC26" s="3" t="s">
        <v>331</v>
      </c>
      <c r="AD26" s="3" t="s">
        <v>1273</v>
      </c>
      <c r="AE26" s="3" t="s">
        <v>1281</v>
      </c>
      <c r="AF26" s="3" t="s">
        <v>272</v>
      </c>
      <c r="AG26" s="3" t="s">
        <v>924</v>
      </c>
      <c r="AH26" s="3" t="s">
        <v>1432</v>
      </c>
      <c r="AI26" s="3" t="s">
        <v>910</v>
      </c>
      <c r="AJ26" s="3">
        <v>2000</v>
      </c>
      <c r="AK26" s="3">
        <v>30</v>
      </c>
      <c r="AL26" s="3">
        <v>240</v>
      </c>
      <c r="AM26" s="3">
        <f>AJ26*AL26/60000</f>
        <v>8</v>
      </c>
      <c r="AN26" s="3" t="s">
        <v>263</v>
      </c>
      <c r="AO26" s="3">
        <v>3</v>
      </c>
      <c r="AP26" s="3" t="s">
        <v>428</v>
      </c>
      <c r="AQ26" s="3" t="s">
        <v>1444</v>
      </c>
      <c r="AR26" s="3" t="s">
        <v>269</v>
      </c>
      <c r="AS26" s="3" t="s">
        <v>269</v>
      </c>
      <c r="AT26" s="3" t="s">
        <v>1444</v>
      </c>
      <c r="AU26" s="3" t="s">
        <v>1444</v>
      </c>
      <c r="AV26" s="3" t="s">
        <v>269</v>
      </c>
      <c r="AW26" s="3">
        <v>3</v>
      </c>
      <c r="AX26" t="s">
        <v>273</v>
      </c>
      <c r="AY26" t="s">
        <v>273</v>
      </c>
      <c r="AZ26" t="s">
        <v>273</v>
      </c>
      <c r="BA26" t="s">
        <v>273</v>
      </c>
      <c r="BB26" t="s">
        <v>273</v>
      </c>
      <c r="BC26" t="s">
        <v>1456</v>
      </c>
      <c r="BD26" t="s">
        <v>273</v>
      </c>
      <c r="BE26" s="3" t="s">
        <v>270</v>
      </c>
      <c r="BF26" s="3" t="s">
        <v>1464</v>
      </c>
      <c r="BG26" s="3">
        <v>0.01</v>
      </c>
      <c r="BH26" s="3">
        <v>0.08</v>
      </c>
      <c r="BI26" s="3" t="s">
        <v>1464</v>
      </c>
      <c r="BJ26" s="3">
        <v>0.01</v>
      </c>
      <c r="BK26" s="3">
        <v>0.15</v>
      </c>
      <c r="BL26" t="s">
        <v>1073</v>
      </c>
      <c r="BM26">
        <v>5</v>
      </c>
      <c r="BN26" s="3">
        <v>22</v>
      </c>
      <c r="BO26" t="s">
        <v>1546</v>
      </c>
      <c r="BP26" s="3" t="s">
        <v>687</v>
      </c>
      <c r="BQ26" s="3" t="s">
        <v>243</v>
      </c>
      <c r="BR26" s="3">
        <v>44</v>
      </c>
      <c r="BS26" s="3">
        <v>2</v>
      </c>
      <c r="BT26" s="3" t="s">
        <v>1130</v>
      </c>
      <c r="BU26" s="3">
        <v>4</v>
      </c>
      <c r="BV26" s="3" t="s">
        <v>389</v>
      </c>
      <c r="BW26" s="3" t="s">
        <v>1468</v>
      </c>
      <c r="BX26" t="s">
        <v>273</v>
      </c>
      <c r="BY26" s="3" t="s">
        <v>285</v>
      </c>
      <c r="BZ26" t="s">
        <v>736</v>
      </c>
      <c r="CA26" t="s">
        <v>1490</v>
      </c>
      <c r="CB26" t="s">
        <v>1227</v>
      </c>
      <c r="CC26" t="s">
        <v>1228</v>
      </c>
      <c r="CD26" t="s">
        <v>1218</v>
      </c>
      <c r="CE26" t="s">
        <v>1229</v>
      </c>
      <c r="CF26" t="s">
        <v>1219</v>
      </c>
      <c r="CG26" t="s">
        <v>1251</v>
      </c>
      <c r="CH26" t="s">
        <v>273</v>
      </c>
      <c r="CI26" s="21"/>
      <c r="CK26"/>
      <c r="CO26"/>
      <c r="CP26"/>
      <c r="CQ26"/>
      <c r="CW26"/>
      <c r="CX26"/>
      <c r="CY26"/>
      <c r="CZ26"/>
      <c r="DA26"/>
      <c r="DC26" s="4"/>
      <c r="DD26"/>
      <c r="DE26"/>
      <c r="DG26" s="33"/>
    </row>
    <row r="27" spans="1:111" s="3" customFormat="1">
      <c r="A27" s="3" t="s">
        <v>107</v>
      </c>
      <c r="B27" s="3" t="s">
        <v>1333</v>
      </c>
      <c r="C27" s="3">
        <v>2024</v>
      </c>
      <c r="D27" t="s">
        <v>1361</v>
      </c>
      <c r="E27" s="3" t="s">
        <v>109</v>
      </c>
      <c r="F27" s="3">
        <v>31</v>
      </c>
      <c r="G27" s="3" t="s">
        <v>273</v>
      </c>
      <c r="H27" s="3" t="s">
        <v>273</v>
      </c>
      <c r="I27" s="3">
        <v>62.13</v>
      </c>
      <c r="J27" s="3">
        <v>6.2</v>
      </c>
      <c r="K27" s="3">
        <v>50.68</v>
      </c>
      <c r="L27" s="3">
        <v>16.39</v>
      </c>
      <c r="M27" s="3" t="s">
        <v>273</v>
      </c>
      <c r="N27" s="3" t="s">
        <v>273</v>
      </c>
      <c r="O27" s="3" t="s">
        <v>273</v>
      </c>
      <c r="P27" s="3" t="s">
        <v>273</v>
      </c>
      <c r="Q27" s="3" t="s">
        <v>273</v>
      </c>
      <c r="R27" s="3" t="s">
        <v>273</v>
      </c>
      <c r="S27" s="3">
        <v>2.63</v>
      </c>
      <c r="T27" s="3">
        <v>0.97</v>
      </c>
      <c r="U27" s="3" t="s">
        <v>273</v>
      </c>
      <c r="V27" s="3" t="s">
        <v>273</v>
      </c>
      <c r="W27" s="3" t="s">
        <v>273</v>
      </c>
      <c r="X27" s="3" t="s">
        <v>273</v>
      </c>
      <c r="Y27" s="3" t="s">
        <v>290</v>
      </c>
      <c r="Z27">
        <v>54</v>
      </c>
      <c r="AA27" s="3">
        <v>59.51</v>
      </c>
      <c r="AB27" s="3">
        <v>6.15</v>
      </c>
      <c r="AC27" s="3" t="s">
        <v>331</v>
      </c>
      <c r="AD27" s="3" t="s">
        <v>1273</v>
      </c>
      <c r="AE27" s="3" t="s">
        <v>1281</v>
      </c>
      <c r="AF27" s="3" t="s">
        <v>272</v>
      </c>
      <c r="AG27" s="3" t="s">
        <v>924</v>
      </c>
      <c r="AH27" s="3" t="s">
        <v>1432</v>
      </c>
      <c r="AI27" s="3" t="s">
        <v>910</v>
      </c>
      <c r="AJ27" s="3">
        <v>2000</v>
      </c>
      <c r="AK27" s="3">
        <v>30</v>
      </c>
      <c r="AL27" s="3">
        <v>240</v>
      </c>
      <c r="AM27" s="3">
        <f>AJ27*AL27/60000</f>
        <v>8</v>
      </c>
      <c r="AN27" s="3" t="s">
        <v>263</v>
      </c>
      <c r="AO27" s="3">
        <v>3</v>
      </c>
      <c r="AP27" s="3" t="s">
        <v>428</v>
      </c>
      <c r="AQ27" s="3" t="s">
        <v>1444</v>
      </c>
      <c r="AR27" s="3" t="s">
        <v>269</v>
      </c>
      <c r="AS27" s="3" t="s">
        <v>269</v>
      </c>
      <c r="AT27" s="3" t="s">
        <v>1444</v>
      </c>
      <c r="AU27" s="3" t="s">
        <v>1444</v>
      </c>
      <c r="AV27" s="3" t="s">
        <v>269</v>
      </c>
      <c r="AW27" s="3">
        <v>3</v>
      </c>
      <c r="AX27" t="s">
        <v>273</v>
      </c>
      <c r="AY27" t="s">
        <v>273</v>
      </c>
      <c r="AZ27" t="s">
        <v>273</v>
      </c>
      <c r="BA27" t="s">
        <v>273</v>
      </c>
      <c r="BB27" t="s">
        <v>273</v>
      </c>
      <c r="BC27" t="s">
        <v>1456</v>
      </c>
      <c r="BD27" t="s">
        <v>273</v>
      </c>
      <c r="BE27" s="3" t="s">
        <v>270</v>
      </c>
      <c r="BF27" s="3" t="s">
        <v>1464</v>
      </c>
      <c r="BG27" s="3">
        <v>0.01</v>
      </c>
      <c r="BH27" s="3">
        <v>0.08</v>
      </c>
      <c r="BI27" s="3" t="s">
        <v>1464</v>
      </c>
      <c r="BJ27" s="3">
        <v>0.01</v>
      </c>
      <c r="BK27" s="3">
        <v>0.15</v>
      </c>
      <c r="BL27" t="s">
        <v>1073</v>
      </c>
      <c r="BM27">
        <v>5</v>
      </c>
      <c r="BN27" s="3">
        <v>22</v>
      </c>
      <c r="BO27" t="s">
        <v>1546</v>
      </c>
      <c r="BP27" s="3" t="s">
        <v>687</v>
      </c>
      <c r="BQ27" s="3" t="s">
        <v>243</v>
      </c>
      <c r="BR27" s="3">
        <v>44</v>
      </c>
      <c r="BS27" s="3">
        <v>2</v>
      </c>
      <c r="BT27" s="3" t="s">
        <v>1130</v>
      </c>
      <c r="BU27" s="3">
        <v>4</v>
      </c>
      <c r="BV27" s="3" t="s">
        <v>389</v>
      </c>
      <c r="BW27" s="3" t="s">
        <v>1468</v>
      </c>
      <c r="BX27" t="s">
        <v>273</v>
      </c>
      <c r="BY27" s="3" t="s">
        <v>285</v>
      </c>
      <c r="BZ27" t="s">
        <v>736</v>
      </c>
      <c r="CA27" t="s">
        <v>1490</v>
      </c>
      <c r="CB27" t="s">
        <v>1227</v>
      </c>
      <c r="CC27" t="s">
        <v>1228</v>
      </c>
      <c r="CD27" t="s">
        <v>1218</v>
      </c>
      <c r="CE27" t="s">
        <v>1229</v>
      </c>
      <c r="CF27" t="s">
        <v>1219</v>
      </c>
      <c r="CG27" t="s">
        <v>1251</v>
      </c>
      <c r="CH27" t="s">
        <v>273</v>
      </c>
      <c r="CI27" s="21"/>
      <c r="CK27"/>
      <c r="CL27"/>
      <c r="CM27"/>
      <c r="CN27"/>
      <c r="CO27"/>
      <c r="CP27"/>
      <c r="CQ27"/>
      <c r="CR27"/>
      <c r="CS27"/>
      <c r="CT27"/>
      <c r="CU27"/>
      <c r="CV27"/>
      <c r="CW27"/>
      <c r="CX27"/>
      <c r="CY27"/>
      <c r="CZ27"/>
      <c r="DA27"/>
      <c r="DB27"/>
      <c r="DC27" s="4"/>
      <c r="DD27"/>
      <c r="DE27"/>
      <c r="DF27"/>
      <c r="DG27" s="33"/>
    </row>
    <row r="28" spans="1:111">
      <c r="A28" t="s">
        <v>110</v>
      </c>
      <c r="B28" t="s">
        <v>1334</v>
      </c>
      <c r="C28">
        <v>2021</v>
      </c>
      <c r="D28" s="3" t="s">
        <v>1359</v>
      </c>
      <c r="E28" t="s">
        <v>112</v>
      </c>
      <c r="F28">
        <v>36</v>
      </c>
      <c r="G28" t="s">
        <v>273</v>
      </c>
      <c r="H28" t="s">
        <v>273</v>
      </c>
      <c r="I28">
        <v>62.84</v>
      </c>
      <c r="J28">
        <v>8.5399999999999991</v>
      </c>
      <c r="K28">
        <v>30.25</v>
      </c>
      <c r="L28">
        <v>7.68</v>
      </c>
      <c r="M28" t="s">
        <v>273</v>
      </c>
      <c r="N28" t="s">
        <v>273</v>
      </c>
      <c r="O28">
        <v>35.71</v>
      </c>
      <c r="P28">
        <v>7.83</v>
      </c>
      <c r="Q28" t="s">
        <v>273</v>
      </c>
      <c r="R28" t="s">
        <v>273</v>
      </c>
      <c r="S28" t="s">
        <v>273</v>
      </c>
      <c r="T28" t="s">
        <v>273</v>
      </c>
      <c r="U28" t="s">
        <v>273</v>
      </c>
      <c r="V28" t="s">
        <v>273</v>
      </c>
      <c r="W28" t="s">
        <v>273</v>
      </c>
      <c r="X28" t="s">
        <v>273</v>
      </c>
      <c r="Y28" t="s">
        <v>302</v>
      </c>
      <c r="Z28">
        <v>36</v>
      </c>
      <c r="AA28">
        <v>63.41</v>
      </c>
      <c r="AB28">
        <v>7.06</v>
      </c>
      <c r="AC28" t="s">
        <v>527</v>
      </c>
      <c r="AD28" t="s">
        <v>1270</v>
      </c>
      <c r="AE28" t="s">
        <v>1282</v>
      </c>
      <c r="AF28" t="s">
        <v>272</v>
      </c>
      <c r="AG28" t="s">
        <v>1414</v>
      </c>
      <c r="AH28" t="s">
        <v>1432</v>
      </c>
      <c r="AI28" t="s">
        <v>910</v>
      </c>
      <c r="AJ28">
        <v>2000</v>
      </c>
      <c r="AK28">
        <v>30</v>
      </c>
      <c r="AL28">
        <v>200</v>
      </c>
      <c r="AM28" s="3">
        <f t="shared" ref="AM28:AM46" si="7">AJ28*AL28/60000</f>
        <v>6.666666666666667</v>
      </c>
      <c r="AN28" t="s">
        <v>736</v>
      </c>
      <c r="AO28">
        <v>3</v>
      </c>
      <c r="AP28" t="s">
        <v>428</v>
      </c>
      <c r="AQ28" t="s">
        <v>269</v>
      </c>
      <c r="AR28" t="s">
        <v>269</v>
      </c>
      <c r="AS28" t="s">
        <v>269</v>
      </c>
      <c r="AT28" t="s">
        <v>269</v>
      </c>
      <c r="AU28" t="s">
        <v>269</v>
      </c>
      <c r="AV28" t="s">
        <v>269</v>
      </c>
      <c r="AW28">
        <v>3</v>
      </c>
      <c r="AX28" t="s">
        <v>273</v>
      </c>
      <c r="AY28" t="s">
        <v>273</v>
      </c>
      <c r="AZ28">
        <v>3</v>
      </c>
      <c r="BA28">
        <v>3</v>
      </c>
      <c r="BB28" t="s">
        <v>273</v>
      </c>
      <c r="BC28" t="s">
        <v>273</v>
      </c>
      <c r="BD28" t="s">
        <v>273</v>
      </c>
      <c r="BE28" t="s">
        <v>266</v>
      </c>
      <c r="BF28" t="s">
        <v>1464</v>
      </c>
      <c r="BG28">
        <v>0.01</v>
      </c>
      <c r="BH28">
        <v>0.1</v>
      </c>
      <c r="BI28" t="s">
        <v>273</v>
      </c>
      <c r="BJ28" t="s">
        <v>273</v>
      </c>
      <c r="BK28" t="s">
        <v>273</v>
      </c>
      <c r="BL28" t="s">
        <v>1073</v>
      </c>
      <c r="BM28">
        <v>4</v>
      </c>
      <c r="BN28">
        <v>98</v>
      </c>
      <c r="BO28" t="s">
        <v>1547</v>
      </c>
      <c r="BP28" s="3" t="s">
        <v>1117</v>
      </c>
      <c r="BQ28" s="3" t="s">
        <v>243</v>
      </c>
      <c r="BR28">
        <v>44</v>
      </c>
      <c r="BS28">
        <v>2</v>
      </c>
      <c r="BT28" s="3" t="s">
        <v>1130</v>
      </c>
      <c r="BU28">
        <v>3</v>
      </c>
      <c r="BV28" s="3" t="s">
        <v>389</v>
      </c>
      <c r="BW28" s="3" t="s">
        <v>1468</v>
      </c>
      <c r="BX28" t="s">
        <v>273</v>
      </c>
      <c r="BY28" t="s">
        <v>736</v>
      </c>
      <c r="BZ28" t="s">
        <v>736</v>
      </c>
      <c r="CA28" t="s">
        <v>1491</v>
      </c>
      <c r="CB28" t="s">
        <v>1230</v>
      </c>
      <c r="CC28" t="s">
        <v>1231</v>
      </c>
      <c r="CD28" t="s">
        <v>1222</v>
      </c>
      <c r="CE28" t="s">
        <v>1211</v>
      </c>
      <c r="CF28" t="s">
        <v>1211</v>
      </c>
      <c r="CG28" t="s">
        <v>1252</v>
      </c>
      <c r="CH28" t="s">
        <v>1157</v>
      </c>
      <c r="DC28" s="2"/>
      <c r="DG28" s="33"/>
    </row>
    <row r="29" spans="1:111" s="3" customFormat="1">
      <c r="A29" s="3" t="s">
        <v>113</v>
      </c>
      <c r="B29" s="3" t="s">
        <v>1335</v>
      </c>
      <c r="C29" s="3">
        <v>2017</v>
      </c>
      <c r="D29" t="s">
        <v>1357</v>
      </c>
      <c r="E29" s="3" t="s">
        <v>115</v>
      </c>
      <c r="F29" s="3">
        <v>31</v>
      </c>
      <c r="G29" s="3" t="s">
        <v>273</v>
      </c>
      <c r="H29" s="3" t="s">
        <v>273</v>
      </c>
      <c r="I29" s="3">
        <v>65.5</v>
      </c>
      <c r="J29" s="3">
        <v>7.2</v>
      </c>
      <c r="K29" s="3">
        <v>28.4</v>
      </c>
      <c r="L29" s="3">
        <v>11.5</v>
      </c>
      <c r="M29" s="3" t="s">
        <v>273</v>
      </c>
      <c r="N29" s="3" t="s">
        <v>273</v>
      </c>
      <c r="O29" s="3" t="s">
        <v>273</v>
      </c>
      <c r="P29" s="3" t="s">
        <v>273</v>
      </c>
      <c r="Q29" s="3" t="s">
        <v>273</v>
      </c>
      <c r="R29" s="3" t="s">
        <v>273</v>
      </c>
      <c r="S29" s="3">
        <v>1.92</v>
      </c>
      <c r="T29" s="3">
        <v>0.2</v>
      </c>
      <c r="U29" s="3" t="s">
        <v>273</v>
      </c>
      <c r="V29" s="3" t="s">
        <v>273</v>
      </c>
      <c r="W29" s="3" t="s">
        <v>273</v>
      </c>
      <c r="X29" s="3" t="s">
        <v>273</v>
      </c>
      <c r="Y29" s="3" t="s">
        <v>290</v>
      </c>
      <c r="Z29" s="3">
        <v>23</v>
      </c>
      <c r="AA29" s="3">
        <v>64.5</v>
      </c>
      <c r="AB29" s="3">
        <v>8.3000000000000007</v>
      </c>
      <c r="AC29" s="3" t="s">
        <v>331</v>
      </c>
      <c r="AD29" s="3" t="s">
        <v>1271</v>
      </c>
      <c r="AE29" s="3" t="s">
        <v>1272</v>
      </c>
      <c r="AF29" s="3" t="s">
        <v>272</v>
      </c>
      <c r="AG29" t="s">
        <v>1415</v>
      </c>
      <c r="AH29" s="3" t="s">
        <v>1432</v>
      </c>
      <c r="AI29" s="3" t="s">
        <v>910</v>
      </c>
      <c r="AJ29" s="3">
        <v>2000</v>
      </c>
      <c r="AK29" s="3">
        <v>30</v>
      </c>
      <c r="AL29" s="3">
        <v>240</v>
      </c>
      <c r="AM29" s="3">
        <f t="shared" si="7"/>
        <v>8</v>
      </c>
      <c r="AN29" s="3" t="s">
        <v>437</v>
      </c>
      <c r="AO29" s="3">
        <v>3</v>
      </c>
      <c r="AP29" s="3" t="s">
        <v>271</v>
      </c>
      <c r="AQ29" s="3" t="s">
        <v>1444</v>
      </c>
      <c r="AR29" s="3" t="s">
        <v>1444</v>
      </c>
      <c r="AS29" s="3" t="s">
        <v>269</v>
      </c>
      <c r="AT29" s="3" t="s">
        <v>1444</v>
      </c>
      <c r="AU29" s="3" t="s">
        <v>1444</v>
      </c>
      <c r="AV29" s="3" t="s">
        <v>269</v>
      </c>
      <c r="AW29" s="3">
        <v>3</v>
      </c>
      <c r="AX29" s="3">
        <v>0.5</v>
      </c>
      <c r="AY29" s="3" t="s">
        <v>273</v>
      </c>
      <c r="AZ29" s="3">
        <v>1</v>
      </c>
      <c r="BA29" s="3" t="s">
        <v>273</v>
      </c>
      <c r="BB29" s="3" t="s">
        <v>273</v>
      </c>
      <c r="BC29" s="3" t="s">
        <v>273</v>
      </c>
      <c r="BD29" t="s">
        <v>273</v>
      </c>
      <c r="BE29" s="3" t="s">
        <v>266</v>
      </c>
      <c r="BF29" s="3" t="s">
        <v>1465</v>
      </c>
      <c r="BG29" s="3" t="s">
        <v>273</v>
      </c>
      <c r="BH29" s="3">
        <v>0.15</v>
      </c>
      <c r="BI29" s="3" t="s">
        <v>273</v>
      </c>
      <c r="BJ29" s="3" t="s">
        <v>273</v>
      </c>
      <c r="BK29" s="3" t="s">
        <v>273</v>
      </c>
      <c r="BL29" t="s">
        <v>1073</v>
      </c>
      <c r="BM29">
        <v>7</v>
      </c>
      <c r="BN29" s="3">
        <v>44</v>
      </c>
      <c r="BO29" t="s">
        <v>1539</v>
      </c>
      <c r="BP29" s="3" t="s">
        <v>687</v>
      </c>
      <c r="BQ29" s="3" t="s">
        <v>243</v>
      </c>
      <c r="BR29" s="3">
        <v>44</v>
      </c>
      <c r="BS29" s="3">
        <v>2</v>
      </c>
      <c r="BT29" s="3" t="s">
        <v>1130</v>
      </c>
      <c r="BU29" s="3">
        <v>2</v>
      </c>
      <c r="BV29" s="3" t="s">
        <v>1134</v>
      </c>
      <c r="BW29" s="3" t="s">
        <v>1468</v>
      </c>
      <c r="BX29" t="s">
        <v>1471</v>
      </c>
      <c r="BY29" s="3" t="s">
        <v>285</v>
      </c>
      <c r="BZ29" t="s">
        <v>736</v>
      </c>
      <c r="CA29" t="s">
        <v>1489</v>
      </c>
      <c r="CB29" t="s">
        <v>1232</v>
      </c>
      <c r="CC29" t="s">
        <v>1526</v>
      </c>
      <c r="CD29" t="s">
        <v>1220</v>
      </c>
      <c r="CE29" t="s">
        <v>1204</v>
      </c>
      <c r="CF29" t="s">
        <v>1233</v>
      </c>
      <c r="CG29" t="s">
        <v>1513</v>
      </c>
      <c r="CH29" t="s">
        <v>1158</v>
      </c>
      <c r="CI29" s="21"/>
      <c r="CK29"/>
      <c r="CO29"/>
      <c r="CP29"/>
      <c r="CQ29"/>
      <c r="CS29"/>
      <c r="CT29"/>
      <c r="CU29"/>
      <c r="CV29"/>
      <c r="CW29"/>
      <c r="CX29"/>
      <c r="CY29"/>
      <c r="CZ29"/>
      <c r="DA29"/>
      <c r="DB29"/>
      <c r="DD29" s="8"/>
      <c r="DE29" s="8"/>
      <c r="DG29" s="33"/>
    </row>
    <row r="30" spans="1:111">
      <c r="A30" t="s">
        <v>116</v>
      </c>
      <c r="B30" t="s">
        <v>1336</v>
      </c>
      <c r="C30">
        <v>2023</v>
      </c>
      <c r="D30" t="s">
        <v>1365</v>
      </c>
      <c r="E30" t="s">
        <v>119</v>
      </c>
      <c r="F30">
        <v>16</v>
      </c>
      <c r="G30" t="s">
        <v>273</v>
      </c>
      <c r="H30" t="s">
        <v>273</v>
      </c>
      <c r="I30">
        <v>66.599999999999994</v>
      </c>
      <c r="J30">
        <v>8.4</v>
      </c>
      <c r="K30">
        <v>29</v>
      </c>
      <c r="L30" t="s">
        <v>273</v>
      </c>
      <c r="M30">
        <v>29</v>
      </c>
      <c r="N30" t="s">
        <v>1382</v>
      </c>
      <c r="O30" t="s">
        <v>273</v>
      </c>
      <c r="P30" t="s">
        <v>273</v>
      </c>
      <c r="Q30">
        <v>35</v>
      </c>
      <c r="R30" t="s">
        <v>1383</v>
      </c>
      <c r="S30" t="s">
        <v>273</v>
      </c>
      <c r="T30" t="s">
        <v>273</v>
      </c>
      <c r="U30" t="s">
        <v>273</v>
      </c>
      <c r="V30" t="s">
        <v>273</v>
      </c>
      <c r="W30" t="s">
        <v>273</v>
      </c>
      <c r="X30" t="s">
        <v>273</v>
      </c>
      <c r="Y30" t="s">
        <v>290</v>
      </c>
      <c r="Z30">
        <v>18</v>
      </c>
      <c r="AA30">
        <v>67.599999999999994</v>
      </c>
      <c r="AB30">
        <v>7.7</v>
      </c>
      <c r="AC30" t="s">
        <v>331</v>
      </c>
      <c r="AD30" t="s">
        <v>1270</v>
      </c>
      <c r="AE30" t="s">
        <v>1282</v>
      </c>
      <c r="AF30" t="s">
        <v>272</v>
      </c>
      <c r="AG30" t="s">
        <v>1416</v>
      </c>
      <c r="AH30" t="s">
        <v>1432</v>
      </c>
      <c r="AI30" t="s">
        <v>910</v>
      </c>
      <c r="AJ30">
        <v>2200</v>
      </c>
      <c r="AK30">
        <v>30</v>
      </c>
      <c r="AL30">
        <v>300</v>
      </c>
      <c r="AM30">
        <f t="shared" si="7"/>
        <v>11</v>
      </c>
      <c r="AN30" t="s">
        <v>452</v>
      </c>
      <c r="AO30">
        <v>3</v>
      </c>
      <c r="AP30" t="s">
        <v>273</v>
      </c>
      <c r="AQ30" t="s">
        <v>269</v>
      </c>
      <c r="AR30" t="s">
        <v>269</v>
      </c>
      <c r="AS30" t="s">
        <v>269</v>
      </c>
      <c r="AT30" t="s">
        <v>1444</v>
      </c>
      <c r="AU30" t="s">
        <v>1444</v>
      </c>
      <c r="AV30" t="s">
        <v>269</v>
      </c>
      <c r="AW30">
        <v>3</v>
      </c>
      <c r="AX30" t="s">
        <v>273</v>
      </c>
      <c r="AY30" t="s">
        <v>273</v>
      </c>
      <c r="AZ30" t="s">
        <v>273</v>
      </c>
      <c r="BA30" t="s">
        <v>273</v>
      </c>
      <c r="BB30" t="s">
        <v>273</v>
      </c>
      <c r="BC30" t="s">
        <v>273</v>
      </c>
      <c r="BD30" t="s">
        <v>273</v>
      </c>
      <c r="BE30" t="s">
        <v>270</v>
      </c>
      <c r="BF30" t="s">
        <v>1465</v>
      </c>
      <c r="BG30" t="s">
        <v>273</v>
      </c>
      <c r="BH30">
        <v>0.15</v>
      </c>
      <c r="BI30" t="s">
        <v>273</v>
      </c>
      <c r="BJ30" t="s">
        <v>273</v>
      </c>
      <c r="BK30" t="s">
        <v>273</v>
      </c>
      <c r="BL30" t="s">
        <v>1073</v>
      </c>
      <c r="BM30">
        <v>4</v>
      </c>
      <c r="BN30">
        <v>10</v>
      </c>
      <c r="BO30" t="s">
        <v>1548</v>
      </c>
      <c r="BP30" s="3" t="s">
        <v>687</v>
      </c>
      <c r="BQ30" s="3" t="s">
        <v>243</v>
      </c>
      <c r="BR30">
        <v>44</v>
      </c>
      <c r="BS30">
        <v>2.2000000000000002</v>
      </c>
      <c r="BT30" s="3" t="s">
        <v>1130</v>
      </c>
      <c r="BU30">
        <v>4</v>
      </c>
      <c r="BV30" t="s">
        <v>1135</v>
      </c>
      <c r="BW30" s="3" t="s">
        <v>1468</v>
      </c>
      <c r="BX30" t="s">
        <v>273</v>
      </c>
      <c r="BY30" t="s">
        <v>736</v>
      </c>
      <c r="BZ30" t="s">
        <v>736</v>
      </c>
      <c r="CA30" t="s">
        <v>1492</v>
      </c>
      <c r="CB30" t="s">
        <v>1188</v>
      </c>
      <c r="CC30" t="s">
        <v>1234</v>
      </c>
      <c r="CD30" t="s">
        <v>1218</v>
      </c>
      <c r="CE30" t="s">
        <v>1211</v>
      </c>
      <c r="CF30" t="s">
        <v>1211</v>
      </c>
      <c r="CG30" t="s">
        <v>1253</v>
      </c>
      <c r="CH30" t="s">
        <v>1159</v>
      </c>
      <c r="DC30" s="2"/>
      <c r="DG30" s="33"/>
    </row>
    <row r="31" spans="1:111">
      <c r="A31" t="s">
        <v>116</v>
      </c>
      <c r="B31" t="s">
        <v>1336</v>
      </c>
      <c r="C31">
        <v>2023</v>
      </c>
      <c r="D31" s="3" t="s">
        <v>1365</v>
      </c>
      <c r="E31" t="s">
        <v>119</v>
      </c>
      <c r="F31">
        <v>16</v>
      </c>
      <c r="G31" t="s">
        <v>273</v>
      </c>
      <c r="H31" t="s">
        <v>273</v>
      </c>
      <c r="I31">
        <v>65.8</v>
      </c>
      <c r="J31">
        <v>7</v>
      </c>
      <c r="K31">
        <v>26</v>
      </c>
      <c r="L31" t="s">
        <v>273</v>
      </c>
      <c r="M31">
        <v>26</v>
      </c>
      <c r="N31" t="s">
        <v>1384</v>
      </c>
      <c r="O31" t="s">
        <v>273</v>
      </c>
      <c r="P31" t="s">
        <v>273</v>
      </c>
      <c r="Q31">
        <v>42.5</v>
      </c>
      <c r="R31" t="s">
        <v>1385</v>
      </c>
      <c r="S31" t="s">
        <v>273</v>
      </c>
      <c r="T31" t="s">
        <v>273</v>
      </c>
      <c r="U31" t="s">
        <v>273</v>
      </c>
      <c r="V31" t="s">
        <v>273</v>
      </c>
      <c r="W31" t="s">
        <v>273</v>
      </c>
      <c r="X31" t="s">
        <v>273</v>
      </c>
      <c r="Y31" t="s">
        <v>290</v>
      </c>
      <c r="Z31">
        <v>18</v>
      </c>
      <c r="AA31">
        <v>67.599999999999994</v>
      </c>
      <c r="AB31">
        <v>7.7</v>
      </c>
      <c r="AC31" t="s">
        <v>331</v>
      </c>
      <c r="AD31" t="s">
        <v>1270</v>
      </c>
      <c r="AE31" t="s">
        <v>1282</v>
      </c>
      <c r="AF31" t="s">
        <v>272</v>
      </c>
      <c r="AG31" t="s">
        <v>1416</v>
      </c>
      <c r="AH31" t="s">
        <v>1432</v>
      </c>
      <c r="AI31" t="s">
        <v>910</v>
      </c>
      <c r="AJ31">
        <v>2200</v>
      </c>
      <c r="AK31">
        <v>30</v>
      </c>
      <c r="AL31">
        <v>300</v>
      </c>
      <c r="AM31">
        <f t="shared" ref="AM31" si="8">AJ31*AL31/60000</f>
        <v>11</v>
      </c>
      <c r="AN31" t="s">
        <v>452</v>
      </c>
      <c r="AO31">
        <v>3</v>
      </c>
      <c r="AP31" t="s">
        <v>273</v>
      </c>
      <c r="AQ31" t="s">
        <v>269</v>
      </c>
      <c r="AR31" t="s">
        <v>269</v>
      </c>
      <c r="AS31" t="s">
        <v>269</v>
      </c>
      <c r="AT31" t="s">
        <v>1444</v>
      </c>
      <c r="AU31" t="s">
        <v>1444</v>
      </c>
      <c r="AV31" t="s">
        <v>269</v>
      </c>
      <c r="AW31">
        <v>3</v>
      </c>
      <c r="AX31" t="s">
        <v>273</v>
      </c>
      <c r="AY31" t="s">
        <v>273</v>
      </c>
      <c r="AZ31" t="s">
        <v>273</v>
      </c>
      <c r="BA31" t="s">
        <v>273</v>
      </c>
      <c r="BB31" t="s">
        <v>273</v>
      </c>
      <c r="BC31" t="s">
        <v>273</v>
      </c>
      <c r="BD31" t="s">
        <v>273</v>
      </c>
      <c r="BE31" t="s">
        <v>270</v>
      </c>
      <c r="BF31" t="s">
        <v>1465</v>
      </c>
      <c r="BG31" t="s">
        <v>273</v>
      </c>
      <c r="BH31">
        <v>0.15</v>
      </c>
      <c r="BI31" t="s">
        <v>273</v>
      </c>
      <c r="BJ31" t="s">
        <v>273</v>
      </c>
      <c r="BK31" t="s">
        <v>273</v>
      </c>
      <c r="BL31" t="s">
        <v>1073</v>
      </c>
      <c r="BM31">
        <v>4</v>
      </c>
      <c r="BN31">
        <v>10</v>
      </c>
      <c r="BO31" t="s">
        <v>1548</v>
      </c>
      <c r="BP31" s="3" t="s">
        <v>687</v>
      </c>
      <c r="BQ31" s="3" t="s">
        <v>243</v>
      </c>
      <c r="BR31">
        <v>44</v>
      </c>
      <c r="BS31">
        <v>2.2000000000000002</v>
      </c>
      <c r="BT31" s="3" t="s">
        <v>1130</v>
      </c>
      <c r="BU31">
        <v>4</v>
      </c>
      <c r="BV31" t="s">
        <v>1135</v>
      </c>
      <c r="BW31" s="3" t="s">
        <v>1468</v>
      </c>
      <c r="BX31" t="s">
        <v>273</v>
      </c>
      <c r="BY31" t="s">
        <v>736</v>
      </c>
      <c r="BZ31" t="s">
        <v>736</v>
      </c>
      <c r="CA31" t="s">
        <v>1492</v>
      </c>
      <c r="CB31" t="s">
        <v>1188</v>
      </c>
      <c r="CC31" t="s">
        <v>1234</v>
      </c>
      <c r="CD31" t="s">
        <v>1218</v>
      </c>
      <c r="CE31" t="s">
        <v>1211</v>
      </c>
      <c r="CF31" t="s">
        <v>1211</v>
      </c>
      <c r="CG31" t="s">
        <v>1253</v>
      </c>
      <c r="CH31" t="s">
        <v>1159</v>
      </c>
      <c r="DC31" s="2"/>
      <c r="DG31" s="33"/>
    </row>
    <row r="32" spans="1:111" s="3" customFormat="1">
      <c r="A32" s="3" t="s">
        <v>120</v>
      </c>
      <c r="B32" s="3" t="s">
        <v>1337</v>
      </c>
      <c r="C32" s="3">
        <v>2020</v>
      </c>
      <c r="D32" s="3" t="s">
        <v>1365</v>
      </c>
      <c r="E32" s="3" t="s">
        <v>122</v>
      </c>
      <c r="F32" s="3">
        <v>16</v>
      </c>
      <c r="G32" s="3" t="s">
        <v>273</v>
      </c>
      <c r="H32" s="3" t="s">
        <v>273</v>
      </c>
      <c r="I32" s="3">
        <v>61.25</v>
      </c>
      <c r="J32" s="3">
        <v>8.1999999999999993</v>
      </c>
      <c r="K32" s="3" t="s">
        <v>273</v>
      </c>
      <c r="L32" s="3" t="s">
        <v>273</v>
      </c>
      <c r="M32" s="3" t="s">
        <v>273</v>
      </c>
      <c r="N32" s="3" t="s">
        <v>273</v>
      </c>
      <c r="O32" s="3">
        <v>20.350000000000001</v>
      </c>
      <c r="P32" s="3">
        <v>9.4</v>
      </c>
      <c r="Q32" s="3" t="s">
        <v>273</v>
      </c>
      <c r="R32" s="3" t="s">
        <v>273</v>
      </c>
      <c r="S32" s="3" t="s">
        <v>273</v>
      </c>
      <c r="T32" s="3" t="s">
        <v>273</v>
      </c>
      <c r="U32" s="3">
        <v>2</v>
      </c>
      <c r="V32" s="3" t="s">
        <v>1386</v>
      </c>
      <c r="W32" s="3" t="s">
        <v>273</v>
      </c>
      <c r="X32" s="3" t="s">
        <v>273</v>
      </c>
      <c r="Y32" s="3" t="s">
        <v>290</v>
      </c>
      <c r="Z32" s="3">
        <v>17</v>
      </c>
      <c r="AA32" s="3">
        <v>63.5</v>
      </c>
      <c r="AB32" s="3">
        <v>9.6999999999999993</v>
      </c>
      <c r="AC32" s="3" t="s">
        <v>331</v>
      </c>
      <c r="AD32" s="3" t="s">
        <v>1274</v>
      </c>
      <c r="AE32" s="3" t="s">
        <v>1110</v>
      </c>
      <c r="AF32" s="3" t="s">
        <v>272</v>
      </c>
      <c r="AG32" t="s">
        <v>1417</v>
      </c>
      <c r="AH32" s="3" t="s">
        <v>1432</v>
      </c>
      <c r="AI32" s="3" t="s">
        <v>910</v>
      </c>
      <c r="AJ32" s="3">
        <v>2140</v>
      </c>
      <c r="AK32" s="3">
        <v>25</v>
      </c>
      <c r="AL32" s="3">
        <v>300</v>
      </c>
      <c r="AM32" s="3">
        <f t="shared" si="7"/>
        <v>10.7</v>
      </c>
      <c r="AN32" s="3" t="s">
        <v>460</v>
      </c>
      <c r="AO32" s="3">
        <v>3</v>
      </c>
      <c r="AP32" s="3" t="s">
        <v>273</v>
      </c>
      <c r="AQ32" s="3" t="s">
        <v>269</v>
      </c>
      <c r="AR32" s="3" t="s">
        <v>269</v>
      </c>
      <c r="AS32" s="3" t="s">
        <v>269</v>
      </c>
      <c r="AT32" s="3" t="s">
        <v>1444</v>
      </c>
      <c r="AU32" s="3" t="s">
        <v>1444</v>
      </c>
      <c r="AV32" s="3" t="s">
        <v>269</v>
      </c>
      <c r="AW32" s="3">
        <v>3</v>
      </c>
      <c r="AX32" s="3">
        <v>0.5</v>
      </c>
      <c r="AY32" s="3" t="s">
        <v>273</v>
      </c>
      <c r="AZ32" s="3">
        <v>3</v>
      </c>
      <c r="BA32" s="3">
        <v>3</v>
      </c>
      <c r="BB32" s="3" t="s">
        <v>273</v>
      </c>
      <c r="BC32" s="3" t="s">
        <v>273</v>
      </c>
      <c r="BD32" t="s">
        <v>273</v>
      </c>
      <c r="BE32" s="3" t="s">
        <v>270</v>
      </c>
      <c r="BF32" s="3" t="s">
        <v>1465</v>
      </c>
      <c r="BG32" s="3" t="s">
        <v>273</v>
      </c>
      <c r="BH32" s="3">
        <v>0.15</v>
      </c>
      <c r="BI32" s="3" t="s">
        <v>273</v>
      </c>
      <c r="BJ32" s="3" t="s">
        <v>273</v>
      </c>
      <c r="BK32" s="3" t="s">
        <v>273</v>
      </c>
      <c r="BL32" t="s">
        <v>1073</v>
      </c>
      <c r="BM32">
        <v>7</v>
      </c>
      <c r="BN32" s="3">
        <v>40</v>
      </c>
      <c r="BO32" t="s">
        <v>1549</v>
      </c>
      <c r="BP32" s="3" t="s">
        <v>687</v>
      </c>
      <c r="BQ32" s="3" t="s">
        <v>243</v>
      </c>
      <c r="BR32" s="3">
        <v>47</v>
      </c>
      <c r="BS32" s="3">
        <v>2.14</v>
      </c>
      <c r="BT32" s="3" t="s">
        <v>1130</v>
      </c>
      <c r="BU32" s="3">
        <v>4</v>
      </c>
      <c r="BV32" s="3" t="s">
        <v>1136</v>
      </c>
      <c r="BW32" s="3" t="s">
        <v>1468</v>
      </c>
      <c r="BX32" s="3" t="s">
        <v>1472</v>
      </c>
      <c r="BZ32" t="s">
        <v>736</v>
      </c>
      <c r="CA32" t="s">
        <v>1493</v>
      </c>
      <c r="CB32" t="s">
        <v>1211</v>
      </c>
      <c r="CC32" t="s">
        <v>1527</v>
      </c>
      <c r="CD32" t="s">
        <v>1218</v>
      </c>
      <c r="CE32" t="s">
        <v>1211</v>
      </c>
      <c r="CF32" t="s">
        <v>1211</v>
      </c>
      <c r="CG32" t="s">
        <v>1514</v>
      </c>
      <c r="CH32" t="s">
        <v>1159</v>
      </c>
      <c r="CI32" s="21"/>
      <c r="CK32"/>
      <c r="CO32"/>
      <c r="CP32"/>
      <c r="CQ32"/>
      <c r="CR32"/>
      <c r="CS32"/>
      <c r="CT32"/>
      <c r="CU32"/>
      <c r="CV32"/>
      <c r="CY32"/>
      <c r="CZ32"/>
      <c r="DA32"/>
      <c r="DB32"/>
      <c r="DC32" s="4"/>
      <c r="DD32"/>
      <c r="DE32"/>
      <c r="DF32"/>
      <c r="DG32" s="33"/>
    </row>
    <row r="33" spans="1:111" s="3" customFormat="1">
      <c r="A33" s="3" t="s">
        <v>120</v>
      </c>
      <c r="B33" s="3" t="s">
        <v>1337</v>
      </c>
      <c r="C33" s="3">
        <v>2020</v>
      </c>
      <c r="D33" t="s">
        <v>1365</v>
      </c>
      <c r="E33" s="3" t="s">
        <v>122</v>
      </c>
      <c r="F33" s="3">
        <v>20</v>
      </c>
      <c r="G33" s="3" t="s">
        <v>273</v>
      </c>
      <c r="H33" s="3" t="s">
        <v>273</v>
      </c>
      <c r="I33" s="3">
        <v>63.45</v>
      </c>
      <c r="J33" s="3">
        <v>8.1</v>
      </c>
      <c r="K33" s="3" t="s">
        <v>273</v>
      </c>
      <c r="L33" s="3" t="s">
        <v>273</v>
      </c>
      <c r="M33" s="3" t="s">
        <v>273</v>
      </c>
      <c r="N33" s="3" t="s">
        <v>273</v>
      </c>
      <c r="O33" s="3">
        <v>25.93</v>
      </c>
      <c r="P33" s="3">
        <v>7</v>
      </c>
      <c r="Q33" s="3" t="s">
        <v>273</v>
      </c>
      <c r="R33" s="3" t="s">
        <v>273</v>
      </c>
      <c r="S33" s="3" t="s">
        <v>273</v>
      </c>
      <c r="T33" s="3" t="s">
        <v>273</v>
      </c>
      <c r="U33" s="3">
        <v>2</v>
      </c>
      <c r="V33" s="3" t="s">
        <v>1387</v>
      </c>
      <c r="W33" s="3" t="s">
        <v>273</v>
      </c>
      <c r="X33" s="3" t="s">
        <v>273</v>
      </c>
      <c r="Y33" s="3" t="s">
        <v>290</v>
      </c>
      <c r="Z33" s="3">
        <v>17</v>
      </c>
      <c r="AA33" s="3">
        <v>63.5</v>
      </c>
      <c r="AB33" s="3">
        <v>9.6999999999999993</v>
      </c>
      <c r="AC33" s="3" t="s">
        <v>331</v>
      </c>
      <c r="AD33" s="3" t="s">
        <v>1274</v>
      </c>
      <c r="AE33" s="3" t="s">
        <v>1110</v>
      </c>
      <c r="AF33" s="3" t="s">
        <v>272</v>
      </c>
      <c r="AG33" t="s">
        <v>1417</v>
      </c>
      <c r="AH33" s="3" t="s">
        <v>1432</v>
      </c>
      <c r="AI33" s="3" t="s">
        <v>910</v>
      </c>
      <c r="AJ33" s="3">
        <v>2140</v>
      </c>
      <c r="AK33" s="3">
        <v>25</v>
      </c>
      <c r="AL33" s="3">
        <v>300</v>
      </c>
      <c r="AM33" s="3">
        <f t="shared" ref="AM33" si="9">AJ33*AL33/60000</f>
        <v>10.7</v>
      </c>
      <c r="AN33" s="3" t="s">
        <v>460</v>
      </c>
      <c r="AO33" s="3">
        <v>3</v>
      </c>
      <c r="AP33" s="3" t="s">
        <v>273</v>
      </c>
      <c r="AQ33" s="3" t="s">
        <v>269</v>
      </c>
      <c r="AR33" s="3" t="s">
        <v>269</v>
      </c>
      <c r="AS33" s="3" t="s">
        <v>269</v>
      </c>
      <c r="AT33" s="3" t="s">
        <v>1444</v>
      </c>
      <c r="AU33" s="3" t="s">
        <v>1444</v>
      </c>
      <c r="AV33" s="3" t="s">
        <v>269</v>
      </c>
      <c r="AW33" s="3">
        <v>3</v>
      </c>
      <c r="AX33" s="3">
        <v>0.5</v>
      </c>
      <c r="AY33" s="3" t="s">
        <v>273</v>
      </c>
      <c r="AZ33" s="3">
        <v>3</v>
      </c>
      <c r="BA33" s="3">
        <v>3</v>
      </c>
      <c r="BB33" s="3" t="s">
        <v>273</v>
      </c>
      <c r="BC33" s="3" t="s">
        <v>273</v>
      </c>
      <c r="BD33" t="s">
        <v>273</v>
      </c>
      <c r="BE33" s="3" t="s">
        <v>270</v>
      </c>
      <c r="BF33" s="3" t="s">
        <v>1465</v>
      </c>
      <c r="BG33" s="3" t="s">
        <v>273</v>
      </c>
      <c r="BH33" s="3">
        <v>0.15</v>
      </c>
      <c r="BI33" s="3" t="s">
        <v>273</v>
      </c>
      <c r="BJ33" s="3" t="s">
        <v>273</v>
      </c>
      <c r="BK33" s="3" t="s">
        <v>273</v>
      </c>
      <c r="BL33" t="s">
        <v>1073</v>
      </c>
      <c r="BM33">
        <v>7</v>
      </c>
      <c r="BN33" s="3">
        <v>40</v>
      </c>
      <c r="BO33" t="s">
        <v>1549</v>
      </c>
      <c r="BP33" s="3" t="s">
        <v>687</v>
      </c>
      <c r="BQ33" s="3" t="s">
        <v>243</v>
      </c>
      <c r="BR33" s="3">
        <v>47</v>
      </c>
      <c r="BS33" s="3">
        <v>2.14</v>
      </c>
      <c r="BT33" s="3" t="s">
        <v>1130</v>
      </c>
      <c r="BU33" s="3">
        <v>4</v>
      </c>
      <c r="BV33" s="3" t="s">
        <v>1136</v>
      </c>
      <c r="BW33" s="3" t="s">
        <v>1468</v>
      </c>
      <c r="BX33" s="3" t="s">
        <v>1472</v>
      </c>
      <c r="BZ33" t="s">
        <v>736</v>
      </c>
      <c r="CA33" t="s">
        <v>1493</v>
      </c>
      <c r="CB33" t="s">
        <v>1211</v>
      </c>
      <c r="CC33" t="s">
        <v>1527</v>
      </c>
      <c r="CD33" t="s">
        <v>1218</v>
      </c>
      <c r="CE33" t="s">
        <v>1211</v>
      </c>
      <c r="CF33" t="s">
        <v>1211</v>
      </c>
      <c r="CG33" t="s">
        <v>1514</v>
      </c>
      <c r="CH33" t="s">
        <v>1159</v>
      </c>
      <c r="CI33" s="21"/>
      <c r="CK33"/>
      <c r="CL33"/>
      <c r="CM33"/>
      <c r="CN33"/>
      <c r="CO33"/>
      <c r="CP33"/>
      <c r="CQ33"/>
      <c r="CR33"/>
      <c r="CS33"/>
      <c r="CT33"/>
      <c r="CU33"/>
      <c r="CV33"/>
      <c r="CW33"/>
      <c r="CX33"/>
      <c r="CY33"/>
      <c r="CZ33"/>
      <c r="DA33"/>
      <c r="DB33"/>
      <c r="DC33" s="4"/>
      <c r="DD33"/>
      <c r="DE33"/>
      <c r="DF33"/>
      <c r="DG33" s="33"/>
    </row>
    <row r="34" spans="1:111">
      <c r="A34" t="s">
        <v>123</v>
      </c>
      <c r="B34" t="s">
        <v>1338</v>
      </c>
      <c r="C34">
        <v>2025</v>
      </c>
      <c r="D34" t="s">
        <v>1366</v>
      </c>
      <c r="E34" t="s">
        <v>126</v>
      </c>
      <c r="F34">
        <v>15</v>
      </c>
      <c r="G34" t="s">
        <v>273</v>
      </c>
      <c r="H34" t="s">
        <v>273</v>
      </c>
      <c r="I34">
        <v>69.900000000000006</v>
      </c>
      <c r="J34">
        <v>9.3000000000000007</v>
      </c>
      <c r="K34">
        <v>29.7</v>
      </c>
      <c r="L34">
        <v>9.5</v>
      </c>
      <c r="M34" t="s">
        <v>273</v>
      </c>
      <c r="N34" t="s">
        <v>273</v>
      </c>
      <c r="O34" t="s">
        <v>273</v>
      </c>
      <c r="P34" t="s">
        <v>273</v>
      </c>
      <c r="Q34" t="s">
        <v>273</v>
      </c>
      <c r="R34" t="s">
        <v>273</v>
      </c>
      <c r="S34">
        <v>2.4</v>
      </c>
      <c r="T34">
        <v>0.6</v>
      </c>
      <c r="U34" t="s">
        <v>273</v>
      </c>
      <c r="V34" t="s">
        <v>273</v>
      </c>
      <c r="W34" t="s">
        <v>273</v>
      </c>
      <c r="X34" t="s">
        <v>273</v>
      </c>
      <c r="Y34" t="s">
        <v>290</v>
      </c>
      <c r="Z34">
        <v>22</v>
      </c>
      <c r="AA34">
        <v>70.7</v>
      </c>
      <c r="AB34">
        <v>7.5</v>
      </c>
      <c r="AC34" t="s">
        <v>331</v>
      </c>
      <c r="AD34" t="s">
        <v>1274</v>
      </c>
      <c r="AE34" t="s">
        <v>1280</v>
      </c>
      <c r="AF34" t="s">
        <v>272</v>
      </c>
      <c r="AG34" t="s">
        <v>1418</v>
      </c>
      <c r="AH34" t="s">
        <v>1432</v>
      </c>
      <c r="AI34" t="s">
        <v>910</v>
      </c>
      <c r="AJ34">
        <v>2000</v>
      </c>
      <c r="AK34">
        <v>29</v>
      </c>
      <c r="AL34">
        <v>196</v>
      </c>
      <c r="AM34">
        <f t="shared" si="7"/>
        <v>6.5333333333333332</v>
      </c>
      <c r="AO34">
        <v>3</v>
      </c>
      <c r="AP34" t="s">
        <v>1445</v>
      </c>
      <c r="AQ34" t="s">
        <v>269</v>
      </c>
      <c r="AR34" t="s">
        <v>269</v>
      </c>
      <c r="AS34" t="s">
        <v>1444</v>
      </c>
      <c r="AT34" t="s">
        <v>269</v>
      </c>
      <c r="AU34" t="s">
        <v>269</v>
      </c>
      <c r="AV34" t="s">
        <v>269</v>
      </c>
      <c r="AW34">
        <v>3</v>
      </c>
      <c r="AX34" t="s">
        <v>273</v>
      </c>
      <c r="AY34" t="s">
        <v>273</v>
      </c>
      <c r="AZ34" t="s">
        <v>273</v>
      </c>
      <c r="BA34" t="s">
        <v>273</v>
      </c>
      <c r="BB34" t="s">
        <v>273</v>
      </c>
      <c r="BC34" t="s">
        <v>273</v>
      </c>
      <c r="BD34" t="s">
        <v>273</v>
      </c>
      <c r="BE34" t="s">
        <v>266</v>
      </c>
      <c r="BF34" t="s">
        <v>1466</v>
      </c>
      <c r="BG34" t="s">
        <v>273</v>
      </c>
      <c r="BH34" t="s">
        <v>273</v>
      </c>
      <c r="BI34" t="s">
        <v>273</v>
      </c>
      <c r="BJ34" t="s">
        <v>273</v>
      </c>
      <c r="BK34" t="s">
        <v>273</v>
      </c>
      <c r="BL34" t="s">
        <v>1073</v>
      </c>
      <c r="BM34">
        <v>11</v>
      </c>
      <c r="BN34">
        <v>30</v>
      </c>
      <c r="BO34" t="s">
        <v>1550</v>
      </c>
      <c r="BP34" s="3" t="s">
        <v>687</v>
      </c>
      <c r="BQ34" s="3" t="s">
        <v>243</v>
      </c>
      <c r="BR34">
        <v>52</v>
      </c>
      <c r="BS34">
        <v>2</v>
      </c>
      <c r="BT34" s="3" t="s">
        <v>1130</v>
      </c>
      <c r="BU34">
        <v>3</v>
      </c>
      <c r="BV34" t="s">
        <v>994</v>
      </c>
      <c r="BW34" t="s">
        <v>998</v>
      </c>
      <c r="BX34" t="s">
        <v>273</v>
      </c>
      <c r="BY34" t="s">
        <v>480</v>
      </c>
      <c r="BZ34" t="s">
        <v>479</v>
      </c>
      <c r="CA34" t="s">
        <v>1494</v>
      </c>
      <c r="CB34" t="s">
        <v>1528</v>
      </c>
      <c r="CC34" t="s">
        <v>1529</v>
      </c>
      <c r="CD34" t="s">
        <v>1218</v>
      </c>
      <c r="CE34" t="s">
        <v>1211</v>
      </c>
      <c r="CF34" t="s">
        <v>1211</v>
      </c>
      <c r="CG34" t="s">
        <v>1254</v>
      </c>
      <c r="CH34" t="s">
        <v>1160</v>
      </c>
      <c r="DC34" s="2"/>
      <c r="DG34" s="33"/>
    </row>
    <row r="35" spans="1:111">
      <c r="A35" t="s">
        <v>123</v>
      </c>
      <c r="B35" t="s">
        <v>1338</v>
      </c>
      <c r="C35">
        <v>2025</v>
      </c>
      <c r="D35" s="3" t="s">
        <v>1366</v>
      </c>
      <c r="E35" t="s">
        <v>126</v>
      </c>
      <c r="F35">
        <v>18</v>
      </c>
      <c r="G35" t="s">
        <v>273</v>
      </c>
      <c r="H35" t="s">
        <v>273</v>
      </c>
      <c r="I35">
        <v>65.900000000000006</v>
      </c>
      <c r="J35">
        <v>5.2</v>
      </c>
      <c r="K35">
        <v>24.8</v>
      </c>
      <c r="L35">
        <v>10.9</v>
      </c>
      <c r="M35" t="s">
        <v>273</v>
      </c>
      <c r="N35" t="s">
        <v>273</v>
      </c>
      <c r="O35" t="s">
        <v>273</v>
      </c>
      <c r="P35" t="s">
        <v>273</v>
      </c>
      <c r="Q35" t="s">
        <v>273</v>
      </c>
      <c r="R35" t="s">
        <v>273</v>
      </c>
      <c r="S35">
        <v>2.4</v>
      </c>
      <c r="T35">
        <v>0.6</v>
      </c>
      <c r="U35" t="s">
        <v>273</v>
      </c>
      <c r="V35" t="s">
        <v>273</v>
      </c>
      <c r="W35" t="s">
        <v>273</v>
      </c>
      <c r="X35" t="s">
        <v>273</v>
      </c>
      <c r="Y35" t="s">
        <v>290</v>
      </c>
      <c r="Z35">
        <v>22</v>
      </c>
      <c r="AA35">
        <v>70.7</v>
      </c>
      <c r="AB35">
        <v>7.5</v>
      </c>
      <c r="AC35" t="s">
        <v>331</v>
      </c>
      <c r="AD35" t="s">
        <v>1274</v>
      </c>
      <c r="AE35" t="s">
        <v>1280</v>
      </c>
      <c r="AF35" t="s">
        <v>272</v>
      </c>
      <c r="AG35" t="s">
        <v>1418</v>
      </c>
      <c r="AH35" t="s">
        <v>1432</v>
      </c>
      <c r="AI35" t="s">
        <v>910</v>
      </c>
      <c r="AJ35">
        <v>2000</v>
      </c>
      <c r="AK35">
        <v>29</v>
      </c>
      <c r="AL35">
        <v>196</v>
      </c>
      <c r="AM35">
        <f t="shared" ref="AM35" si="10">AJ35*AL35/60000</f>
        <v>6.5333333333333332</v>
      </c>
      <c r="AO35">
        <v>3</v>
      </c>
      <c r="AP35" t="s">
        <v>1445</v>
      </c>
      <c r="AQ35" t="s">
        <v>269</v>
      </c>
      <c r="AR35" t="s">
        <v>269</v>
      </c>
      <c r="AS35" t="s">
        <v>1444</v>
      </c>
      <c r="AT35" t="s">
        <v>269</v>
      </c>
      <c r="AU35" t="s">
        <v>269</v>
      </c>
      <c r="AV35" t="s">
        <v>269</v>
      </c>
      <c r="AW35">
        <v>3</v>
      </c>
      <c r="AX35" t="s">
        <v>273</v>
      </c>
      <c r="AY35" t="s">
        <v>273</v>
      </c>
      <c r="AZ35" t="s">
        <v>273</v>
      </c>
      <c r="BA35" t="s">
        <v>273</v>
      </c>
      <c r="BB35" t="s">
        <v>273</v>
      </c>
      <c r="BC35" t="s">
        <v>273</v>
      </c>
      <c r="BD35" t="s">
        <v>273</v>
      </c>
      <c r="BE35" t="s">
        <v>266</v>
      </c>
      <c r="BF35" t="s">
        <v>1466</v>
      </c>
      <c r="BG35" t="s">
        <v>273</v>
      </c>
      <c r="BH35" t="s">
        <v>273</v>
      </c>
      <c r="BI35" t="s">
        <v>273</v>
      </c>
      <c r="BJ35" t="s">
        <v>273</v>
      </c>
      <c r="BK35" t="s">
        <v>273</v>
      </c>
      <c r="BL35" t="s">
        <v>1073</v>
      </c>
      <c r="BM35">
        <v>11</v>
      </c>
      <c r="BN35">
        <v>30</v>
      </c>
      <c r="BO35" t="s">
        <v>1550</v>
      </c>
      <c r="BP35" s="3" t="s">
        <v>687</v>
      </c>
      <c r="BQ35" s="3" t="s">
        <v>243</v>
      </c>
      <c r="BR35">
        <v>52</v>
      </c>
      <c r="BS35">
        <v>2</v>
      </c>
      <c r="BT35" s="3" t="s">
        <v>1130</v>
      </c>
      <c r="BU35">
        <v>3</v>
      </c>
      <c r="BV35" t="s">
        <v>994</v>
      </c>
      <c r="BW35" t="s">
        <v>998</v>
      </c>
      <c r="BX35" t="s">
        <v>273</v>
      </c>
      <c r="BY35" t="s">
        <v>480</v>
      </c>
      <c r="BZ35" t="s">
        <v>479</v>
      </c>
      <c r="CA35" t="s">
        <v>1494</v>
      </c>
      <c r="CB35" t="s">
        <v>1528</v>
      </c>
      <c r="CC35" t="s">
        <v>1529</v>
      </c>
      <c r="CD35" t="s">
        <v>1218</v>
      </c>
      <c r="CE35" t="s">
        <v>1211</v>
      </c>
      <c r="CF35" t="s">
        <v>1211</v>
      </c>
      <c r="CG35" t="s">
        <v>1254</v>
      </c>
      <c r="CH35" t="s">
        <v>1160</v>
      </c>
      <c r="DC35" s="2"/>
      <c r="DG35" s="33"/>
    </row>
    <row r="36" spans="1:111" s="3" customFormat="1">
      <c r="A36" s="3" t="s">
        <v>127</v>
      </c>
      <c r="B36" s="3" t="s">
        <v>1339</v>
      </c>
      <c r="C36" s="3">
        <v>2018</v>
      </c>
      <c r="D36" s="3" t="s">
        <v>1366</v>
      </c>
      <c r="E36" s="3" t="s">
        <v>129</v>
      </c>
      <c r="F36" s="3">
        <v>23</v>
      </c>
      <c r="G36" s="3" t="s">
        <v>273</v>
      </c>
      <c r="H36" s="3" t="s">
        <v>273</v>
      </c>
      <c r="I36" s="3">
        <v>69.17</v>
      </c>
      <c r="J36" s="3">
        <v>4.4800000000000004</v>
      </c>
      <c r="K36" s="3">
        <v>22.65</v>
      </c>
      <c r="L36" s="3">
        <v>11.08</v>
      </c>
      <c r="M36" s="3" t="s">
        <v>273</v>
      </c>
      <c r="N36" s="3" t="s">
        <v>273</v>
      </c>
      <c r="O36" s="3" t="s">
        <v>273</v>
      </c>
      <c r="P36" s="3" t="s">
        <v>273</v>
      </c>
      <c r="Q36" s="3" t="s">
        <v>273</v>
      </c>
      <c r="R36" s="3" t="s">
        <v>273</v>
      </c>
      <c r="S36" s="3" t="s">
        <v>273</v>
      </c>
      <c r="T36" s="3" t="s">
        <v>273</v>
      </c>
      <c r="U36" s="3">
        <v>1.93</v>
      </c>
      <c r="V36" s="3">
        <v>0.5</v>
      </c>
      <c r="W36" s="3" t="s">
        <v>273</v>
      </c>
      <c r="X36" s="3" t="s">
        <v>273</v>
      </c>
      <c r="Y36" s="3" t="s">
        <v>290</v>
      </c>
      <c r="Z36" s="3">
        <v>26</v>
      </c>
      <c r="AA36" s="3">
        <v>68.31</v>
      </c>
      <c r="AB36" s="3">
        <v>7.52</v>
      </c>
      <c r="AC36" s="3" t="s">
        <v>331</v>
      </c>
      <c r="AD36" s="3" t="s">
        <v>1274</v>
      </c>
      <c r="AE36" s="3" t="s">
        <v>1280</v>
      </c>
      <c r="AF36" s="3" t="s">
        <v>272</v>
      </c>
      <c r="AG36" s="3" t="s">
        <v>1419</v>
      </c>
      <c r="AH36" s="3" t="s">
        <v>1432</v>
      </c>
      <c r="AI36" s="3" t="s">
        <v>910</v>
      </c>
      <c r="AJ36" s="3">
        <v>2100</v>
      </c>
      <c r="AK36" s="3">
        <v>16</v>
      </c>
      <c r="AL36" s="3">
        <v>220</v>
      </c>
      <c r="AM36" s="3">
        <f t="shared" si="7"/>
        <v>7.7</v>
      </c>
      <c r="AN36" s="3" t="s">
        <v>366</v>
      </c>
      <c r="AO36" s="3">
        <v>3</v>
      </c>
      <c r="AP36" s="3" t="s">
        <v>271</v>
      </c>
      <c r="AQ36" s="3" t="s">
        <v>269</v>
      </c>
      <c r="AR36" s="3" t="s">
        <v>1444</v>
      </c>
      <c r="AS36" s="3" t="s">
        <v>269</v>
      </c>
      <c r="AT36" s="3" t="s">
        <v>1444</v>
      </c>
      <c r="AU36" s="3" t="s">
        <v>269</v>
      </c>
      <c r="AV36" s="3" t="s">
        <v>269</v>
      </c>
      <c r="AW36" s="3">
        <v>3</v>
      </c>
      <c r="AX36" s="3">
        <v>0.5</v>
      </c>
      <c r="AY36" s="3" t="s">
        <v>273</v>
      </c>
      <c r="AZ36" s="3" t="s">
        <v>273</v>
      </c>
      <c r="BA36" s="3" t="s">
        <v>273</v>
      </c>
      <c r="BB36" s="3" t="s">
        <v>273</v>
      </c>
      <c r="BC36" s="3" t="s">
        <v>273</v>
      </c>
      <c r="BD36" t="s">
        <v>273</v>
      </c>
      <c r="BE36" s="3" t="s">
        <v>266</v>
      </c>
      <c r="BF36" s="3" t="s">
        <v>1464</v>
      </c>
      <c r="BG36" s="3">
        <v>8.0000000000000002E-3</v>
      </c>
      <c r="BH36" s="3">
        <v>0.09</v>
      </c>
      <c r="BI36" s="3" t="s">
        <v>1465</v>
      </c>
      <c r="BJ36" s="3" t="s">
        <v>273</v>
      </c>
      <c r="BK36" s="3">
        <v>0.15</v>
      </c>
      <c r="BL36" t="s">
        <v>1073</v>
      </c>
      <c r="BM36">
        <v>7</v>
      </c>
      <c r="BN36" s="3">
        <v>29</v>
      </c>
      <c r="BO36" t="s">
        <v>1551</v>
      </c>
      <c r="BP36" s="3" t="s">
        <v>687</v>
      </c>
      <c r="BQ36" s="3" t="s">
        <v>243</v>
      </c>
      <c r="BR36" s="3">
        <v>46.2</v>
      </c>
      <c r="BS36" s="3">
        <v>2.2000000000000002</v>
      </c>
      <c r="BT36" s="3" t="s">
        <v>1130</v>
      </c>
      <c r="BU36" s="3">
        <v>2</v>
      </c>
      <c r="BV36" s="3" t="s">
        <v>389</v>
      </c>
      <c r="BW36" s="3" t="s">
        <v>1473</v>
      </c>
      <c r="BX36" s="3" t="s">
        <v>1474</v>
      </c>
      <c r="BY36" t="s">
        <v>736</v>
      </c>
      <c r="BZ36" t="s">
        <v>736</v>
      </c>
      <c r="CA36" t="s">
        <v>1495</v>
      </c>
      <c r="CB36" t="s">
        <v>1211</v>
      </c>
      <c r="CC36" t="s">
        <v>1530</v>
      </c>
      <c r="CD36" t="s">
        <v>1220</v>
      </c>
      <c r="CE36" t="s">
        <v>1205</v>
      </c>
      <c r="CF36" t="s">
        <v>1233</v>
      </c>
      <c r="CG36" t="s">
        <v>1515</v>
      </c>
      <c r="CH36" t="s">
        <v>1161</v>
      </c>
      <c r="CI36" s="21"/>
      <c r="CK36"/>
      <c r="CQ36"/>
      <c r="CR36"/>
      <c r="CS36"/>
      <c r="CT36"/>
      <c r="CU36"/>
      <c r="CV36"/>
      <c r="CW36"/>
      <c r="CX36"/>
      <c r="CY36"/>
      <c r="CZ36"/>
      <c r="DA36"/>
      <c r="DB36"/>
      <c r="DD36" s="8"/>
      <c r="DE36"/>
      <c r="DF36"/>
      <c r="DG36" s="33"/>
    </row>
    <row r="37" spans="1:111" s="3" customFormat="1">
      <c r="A37" s="3" t="s">
        <v>127</v>
      </c>
      <c r="B37" s="3" t="s">
        <v>1339</v>
      </c>
      <c r="C37" s="3">
        <v>2018</v>
      </c>
      <c r="D37" t="s">
        <v>1366</v>
      </c>
      <c r="E37" s="3" t="s">
        <v>129</v>
      </c>
      <c r="F37" s="3">
        <v>12</v>
      </c>
      <c r="G37" s="3" t="s">
        <v>273</v>
      </c>
      <c r="H37" s="3" t="s">
        <v>273</v>
      </c>
      <c r="I37" s="3">
        <v>65.17</v>
      </c>
      <c r="J37" s="3">
        <v>8.31</v>
      </c>
      <c r="K37" s="3">
        <v>18.45</v>
      </c>
      <c r="L37" s="3">
        <v>6.91</v>
      </c>
      <c r="M37" s="3" t="s">
        <v>273</v>
      </c>
      <c r="N37" s="3" t="s">
        <v>273</v>
      </c>
      <c r="O37" s="3" t="s">
        <v>273</v>
      </c>
      <c r="P37" s="3" t="s">
        <v>273</v>
      </c>
      <c r="Q37" s="3" t="s">
        <v>273</v>
      </c>
      <c r="R37" s="3" t="s">
        <v>273</v>
      </c>
      <c r="S37" s="3" t="s">
        <v>273</v>
      </c>
      <c r="T37" s="3" t="s">
        <v>273</v>
      </c>
      <c r="U37" s="3">
        <v>1.79</v>
      </c>
      <c r="V37" s="3">
        <v>0.39</v>
      </c>
      <c r="W37" s="3" t="s">
        <v>273</v>
      </c>
      <c r="X37" s="3" t="s">
        <v>273</v>
      </c>
      <c r="Y37" s="3" t="s">
        <v>290</v>
      </c>
      <c r="Z37" s="3">
        <v>26</v>
      </c>
      <c r="AA37" s="3">
        <v>68.31</v>
      </c>
      <c r="AB37" s="3">
        <v>7.52</v>
      </c>
      <c r="AC37" s="3" t="s">
        <v>331</v>
      </c>
      <c r="AD37" s="3" t="s">
        <v>1274</v>
      </c>
      <c r="AE37" s="3" t="s">
        <v>1280</v>
      </c>
      <c r="AF37" s="3" t="s">
        <v>272</v>
      </c>
      <c r="AG37" s="3" t="s">
        <v>1419</v>
      </c>
      <c r="AH37" s="3" t="s">
        <v>1432</v>
      </c>
      <c r="AI37" s="3" t="s">
        <v>910</v>
      </c>
      <c r="AJ37" s="3">
        <v>2100</v>
      </c>
      <c r="AK37" s="3">
        <v>16</v>
      </c>
      <c r="AL37" s="3">
        <v>220</v>
      </c>
      <c r="AM37" s="3">
        <f t="shared" ref="AM37" si="11">AJ37*AL37/60000</f>
        <v>7.7</v>
      </c>
      <c r="AN37" s="3" t="s">
        <v>366</v>
      </c>
      <c r="AO37" s="3">
        <v>3</v>
      </c>
      <c r="AP37" s="3" t="s">
        <v>271</v>
      </c>
      <c r="AQ37" s="3" t="s">
        <v>269</v>
      </c>
      <c r="AR37" s="3" t="s">
        <v>1444</v>
      </c>
      <c r="AS37" s="3" t="s">
        <v>269</v>
      </c>
      <c r="AT37" s="3" t="s">
        <v>1444</v>
      </c>
      <c r="AU37" s="3" t="s">
        <v>269</v>
      </c>
      <c r="AV37" s="3" t="s">
        <v>269</v>
      </c>
      <c r="AW37" s="3">
        <v>3</v>
      </c>
      <c r="AX37" s="3">
        <v>0.5</v>
      </c>
      <c r="AY37" s="3" t="s">
        <v>273</v>
      </c>
      <c r="AZ37" s="3" t="s">
        <v>273</v>
      </c>
      <c r="BA37" s="3" t="s">
        <v>273</v>
      </c>
      <c r="BB37" s="3" t="s">
        <v>273</v>
      </c>
      <c r="BC37" s="3" t="s">
        <v>273</v>
      </c>
      <c r="BD37" t="s">
        <v>273</v>
      </c>
      <c r="BE37" s="3" t="s">
        <v>266</v>
      </c>
      <c r="BF37" s="3" t="s">
        <v>1464</v>
      </c>
      <c r="BG37" s="3">
        <v>8.0000000000000002E-3</v>
      </c>
      <c r="BH37" s="3">
        <v>0.09</v>
      </c>
      <c r="BI37" s="3" t="s">
        <v>1465</v>
      </c>
      <c r="BJ37" s="3" t="s">
        <v>273</v>
      </c>
      <c r="BK37" s="3">
        <v>0.15</v>
      </c>
      <c r="BL37" t="s">
        <v>1073</v>
      </c>
      <c r="BM37">
        <v>7</v>
      </c>
      <c r="BN37" s="3">
        <v>59</v>
      </c>
      <c r="BO37" t="s">
        <v>1551</v>
      </c>
      <c r="BP37" s="3" t="s">
        <v>687</v>
      </c>
      <c r="BQ37" s="3" t="s">
        <v>243</v>
      </c>
      <c r="BR37" s="3">
        <v>46.2</v>
      </c>
      <c r="BS37" s="3">
        <v>2.2000000000000002</v>
      </c>
      <c r="BT37" s="3" t="s">
        <v>1130</v>
      </c>
      <c r="BU37" s="3">
        <v>2</v>
      </c>
      <c r="BV37" s="3" t="s">
        <v>389</v>
      </c>
      <c r="BW37" s="3" t="s">
        <v>1473</v>
      </c>
      <c r="BX37" s="3" t="s">
        <v>1474</v>
      </c>
      <c r="BY37" t="s">
        <v>736</v>
      </c>
      <c r="BZ37" t="s">
        <v>736</v>
      </c>
      <c r="CA37" t="s">
        <v>1495</v>
      </c>
      <c r="CB37" t="s">
        <v>1211</v>
      </c>
      <c r="CC37" t="s">
        <v>1530</v>
      </c>
      <c r="CD37" t="s">
        <v>1220</v>
      </c>
      <c r="CE37" t="s">
        <v>1205</v>
      </c>
      <c r="CF37" t="s">
        <v>1233</v>
      </c>
      <c r="CG37" t="s">
        <v>1515</v>
      </c>
      <c r="CH37" t="s">
        <v>1161</v>
      </c>
      <c r="CI37" s="21"/>
      <c r="CK37"/>
      <c r="CL37"/>
      <c r="CM37"/>
      <c r="CN37"/>
      <c r="CO37"/>
      <c r="CP37"/>
      <c r="CQ37"/>
      <c r="CR37"/>
      <c r="CS37"/>
      <c r="CT37"/>
      <c r="CU37"/>
      <c r="CV37"/>
      <c r="CW37"/>
      <c r="CX37"/>
      <c r="CY37"/>
      <c r="CZ37"/>
      <c r="DA37"/>
      <c r="DB37"/>
      <c r="DC37"/>
      <c r="DD37" s="8"/>
      <c r="DE37"/>
      <c r="DF37"/>
      <c r="DG37" s="33"/>
    </row>
    <row r="38" spans="1:111">
      <c r="A38" t="s">
        <v>130</v>
      </c>
      <c r="B38" t="s">
        <v>1340</v>
      </c>
      <c r="C38">
        <v>2022</v>
      </c>
      <c r="D38" t="s">
        <v>1367</v>
      </c>
      <c r="E38" t="s">
        <v>133</v>
      </c>
      <c r="F38">
        <v>16</v>
      </c>
      <c r="G38" t="s">
        <v>273</v>
      </c>
      <c r="H38" t="s">
        <v>273</v>
      </c>
      <c r="I38">
        <v>64.8</v>
      </c>
      <c r="J38">
        <v>8.6</v>
      </c>
      <c r="K38">
        <v>29.8</v>
      </c>
      <c r="L38">
        <v>22.6</v>
      </c>
      <c r="M38" t="s">
        <v>273</v>
      </c>
      <c r="N38" t="s">
        <v>273</v>
      </c>
      <c r="O38" t="s">
        <v>273</v>
      </c>
      <c r="P38" t="s">
        <v>273</v>
      </c>
      <c r="Q38" t="s">
        <v>273</v>
      </c>
      <c r="R38" t="s">
        <v>273</v>
      </c>
      <c r="S38" t="s">
        <v>273</v>
      </c>
      <c r="T38" t="s">
        <v>273</v>
      </c>
      <c r="U38" t="s">
        <v>273</v>
      </c>
      <c r="V38" t="s">
        <v>273</v>
      </c>
      <c r="W38" t="s">
        <v>273</v>
      </c>
      <c r="X38" t="s">
        <v>273</v>
      </c>
      <c r="Y38" t="s">
        <v>290</v>
      </c>
      <c r="Z38">
        <v>32</v>
      </c>
      <c r="AA38">
        <v>66.099999999999994</v>
      </c>
      <c r="AB38">
        <v>9.4</v>
      </c>
      <c r="AC38" t="s">
        <v>331</v>
      </c>
      <c r="AD38" t="s">
        <v>1274</v>
      </c>
      <c r="AE38" t="s">
        <v>1111</v>
      </c>
      <c r="AF38" t="s">
        <v>272</v>
      </c>
      <c r="AG38" t="s">
        <v>1420</v>
      </c>
      <c r="AH38" t="s">
        <v>1432</v>
      </c>
      <c r="AI38" t="s">
        <v>910</v>
      </c>
      <c r="AJ38">
        <v>700</v>
      </c>
      <c r="AK38">
        <v>30</v>
      </c>
      <c r="AL38">
        <v>105</v>
      </c>
      <c r="AM38">
        <f t="shared" si="7"/>
        <v>1.2250000000000001</v>
      </c>
      <c r="AO38">
        <v>3</v>
      </c>
      <c r="AP38" t="s">
        <v>271</v>
      </c>
      <c r="AQ38" t="s">
        <v>1444</v>
      </c>
      <c r="AR38" t="s">
        <v>1444</v>
      </c>
      <c r="AS38" t="s">
        <v>269</v>
      </c>
      <c r="AT38" t="s">
        <v>269</v>
      </c>
      <c r="AU38" t="s">
        <v>269</v>
      </c>
      <c r="AV38" t="s">
        <v>269</v>
      </c>
      <c r="AW38">
        <v>3</v>
      </c>
      <c r="AX38">
        <v>0.3</v>
      </c>
      <c r="AY38">
        <v>5</v>
      </c>
      <c r="AZ38" t="s">
        <v>273</v>
      </c>
      <c r="BA38" t="s">
        <v>273</v>
      </c>
      <c r="BB38">
        <v>30</v>
      </c>
      <c r="BC38" t="s">
        <v>273</v>
      </c>
      <c r="BD38" t="s">
        <v>273</v>
      </c>
      <c r="BE38" t="s">
        <v>273</v>
      </c>
      <c r="BF38" t="s">
        <v>273</v>
      </c>
      <c r="BG38" t="s">
        <v>273</v>
      </c>
      <c r="BH38" t="s">
        <v>273</v>
      </c>
      <c r="BI38" t="s">
        <v>273</v>
      </c>
      <c r="BJ38" t="s">
        <v>273</v>
      </c>
      <c r="BK38" t="s">
        <v>273</v>
      </c>
      <c r="BL38" t="s">
        <v>992</v>
      </c>
      <c r="BM38" t="s">
        <v>910</v>
      </c>
      <c r="BN38">
        <v>232</v>
      </c>
      <c r="BO38" t="s">
        <v>910</v>
      </c>
      <c r="BP38" s="3" t="s">
        <v>1118</v>
      </c>
      <c r="BQ38" s="3" t="s">
        <v>243</v>
      </c>
      <c r="BR38">
        <v>44</v>
      </c>
      <c r="BS38">
        <v>0.7</v>
      </c>
      <c r="BT38" s="3" t="s">
        <v>1130</v>
      </c>
      <c r="BU38">
        <v>2</v>
      </c>
      <c r="BV38" t="s">
        <v>1137</v>
      </c>
      <c r="BW38" s="3" t="s">
        <v>1468</v>
      </c>
      <c r="BX38" t="s">
        <v>273</v>
      </c>
      <c r="BY38" t="s">
        <v>736</v>
      </c>
      <c r="BZ38" t="s">
        <v>499</v>
      </c>
      <c r="CA38" t="s">
        <v>1496</v>
      </c>
      <c r="CB38" t="s">
        <v>1189</v>
      </c>
      <c r="CC38" t="s">
        <v>1190</v>
      </c>
      <c r="CD38" t="s">
        <v>1218</v>
      </c>
      <c r="CE38" t="s">
        <v>1206</v>
      </c>
      <c r="CF38" t="s">
        <v>1219</v>
      </c>
      <c r="CG38" t="s">
        <v>1516</v>
      </c>
      <c r="CH38" t="s">
        <v>1162</v>
      </c>
      <c r="DC38" s="2"/>
      <c r="DG38" s="33"/>
    </row>
    <row r="39" spans="1:111">
      <c r="A39" t="s">
        <v>130</v>
      </c>
      <c r="B39" t="s">
        <v>1340</v>
      </c>
      <c r="C39">
        <v>2022</v>
      </c>
      <c r="D39" s="3" t="s">
        <v>1367</v>
      </c>
      <c r="E39" t="s">
        <v>133</v>
      </c>
      <c r="F39">
        <v>75</v>
      </c>
      <c r="G39" t="s">
        <v>273</v>
      </c>
      <c r="H39" t="s">
        <v>273</v>
      </c>
      <c r="I39">
        <v>64.400000000000006</v>
      </c>
      <c r="J39">
        <v>7.8</v>
      </c>
      <c r="K39">
        <v>21.2</v>
      </c>
      <c r="L39">
        <v>11.3</v>
      </c>
      <c r="M39" t="s">
        <v>273</v>
      </c>
      <c r="N39" t="s">
        <v>273</v>
      </c>
      <c r="O39" t="s">
        <v>273</v>
      </c>
      <c r="P39" t="s">
        <v>273</v>
      </c>
      <c r="Q39" t="s">
        <v>273</v>
      </c>
      <c r="R39" t="s">
        <v>273</v>
      </c>
      <c r="S39" t="s">
        <v>273</v>
      </c>
      <c r="T39" t="s">
        <v>273</v>
      </c>
      <c r="U39" t="s">
        <v>273</v>
      </c>
      <c r="V39" t="s">
        <v>273</v>
      </c>
      <c r="W39" t="s">
        <v>273</v>
      </c>
      <c r="X39" t="s">
        <v>273</v>
      </c>
      <c r="Y39" t="s">
        <v>290</v>
      </c>
      <c r="Z39">
        <v>32</v>
      </c>
      <c r="AA39">
        <v>66.099999999999994</v>
      </c>
      <c r="AB39">
        <v>9.4</v>
      </c>
      <c r="AC39" t="s">
        <v>331</v>
      </c>
      <c r="AD39" t="s">
        <v>1274</v>
      </c>
      <c r="AE39" t="s">
        <v>1111</v>
      </c>
      <c r="AF39" t="s">
        <v>272</v>
      </c>
      <c r="AG39" t="s">
        <v>1420</v>
      </c>
      <c r="AH39" t="s">
        <v>1432</v>
      </c>
      <c r="AI39" t="s">
        <v>910</v>
      </c>
      <c r="AJ39">
        <v>700</v>
      </c>
      <c r="AK39">
        <v>30</v>
      </c>
      <c r="AL39">
        <v>105</v>
      </c>
      <c r="AM39">
        <f t="shared" ref="AM39" si="12">AJ39*AL39/60000</f>
        <v>1.2250000000000001</v>
      </c>
      <c r="AO39">
        <v>3</v>
      </c>
      <c r="AP39" t="s">
        <v>271</v>
      </c>
      <c r="AQ39" t="s">
        <v>1444</v>
      </c>
      <c r="AR39" t="s">
        <v>1444</v>
      </c>
      <c r="AS39" t="s">
        <v>269</v>
      </c>
      <c r="AT39" t="s">
        <v>269</v>
      </c>
      <c r="AU39" t="s">
        <v>269</v>
      </c>
      <c r="AV39" t="s">
        <v>269</v>
      </c>
      <c r="AW39">
        <v>3</v>
      </c>
      <c r="AX39">
        <v>0.3</v>
      </c>
      <c r="AY39">
        <v>5</v>
      </c>
      <c r="AZ39" t="s">
        <v>273</v>
      </c>
      <c r="BA39" t="s">
        <v>273</v>
      </c>
      <c r="BB39">
        <v>30</v>
      </c>
      <c r="BC39" t="s">
        <v>273</v>
      </c>
      <c r="BD39" t="s">
        <v>273</v>
      </c>
      <c r="BE39" t="s">
        <v>273</v>
      </c>
      <c r="BF39" t="s">
        <v>273</v>
      </c>
      <c r="BG39" t="s">
        <v>273</v>
      </c>
      <c r="BH39" t="s">
        <v>273</v>
      </c>
      <c r="BI39" t="s">
        <v>273</v>
      </c>
      <c r="BJ39" t="s">
        <v>273</v>
      </c>
      <c r="BK39" t="s">
        <v>273</v>
      </c>
      <c r="BL39" t="s">
        <v>992</v>
      </c>
      <c r="BM39" t="s">
        <v>910</v>
      </c>
      <c r="BN39">
        <v>232</v>
      </c>
      <c r="BO39" t="s">
        <v>910</v>
      </c>
      <c r="BP39" s="3" t="s">
        <v>1118</v>
      </c>
      <c r="BQ39" s="3" t="s">
        <v>243</v>
      </c>
      <c r="BR39">
        <v>44</v>
      </c>
      <c r="BS39">
        <v>0.7</v>
      </c>
      <c r="BT39" s="3" t="s">
        <v>1130</v>
      </c>
      <c r="BU39">
        <v>2</v>
      </c>
      <c r="BV39" t="s">
        <v>1137</v>
      </c>
      <c r="BW39" s="3" t="s">
        <v>1468</v>
      </c>
      <c r="BX39" t="s">
        <v>273</v>
      </c>
      <c r="BY39" t="s">
        <v>736</v>
      </c>
      <c r="BZ39" t="s">
        <v>499</v>
      </c>
      <c r="CA39" t="s">
        <v>1496</v>
      </c>
      <c r="CB39" t="s">
        <v>1189</v>
      </c>
      <c r="CC39" t="s">
        <v>1190</v>
      </c>
      <c r="CD39" t="s">
        <v>1218</v>
      </c>
      <c r="CE39" t="s">
        <v>1206</v>
      </c>
      <c r="CF39" t="s">
        <v>1219</v>
      </c>
      <c r="CG39" t="s">
        <v>1516</v>
      </c>
      <c r="CH39" t="s">
        <v>1162</v>
      </c>
      <c r="DC39" s="2"/>
      <c r="DG39" s="33"/>
    </row>
    <row r="40" spans="1:111" s="3" customFormat="1">
      <c r="A40" s="3" t="s">
        <v>134</v>
      </c>
      <c r="B40" s="3" t="s">
        <v>1341</v>
      </c>
      <c r="C40" s="3">
        <v>2023</v>
      </c>
      <c r="D40" s="3" t="s">
        <v>1360</v>
      </c>
      <c r="E40" s="3" t="s">
        <v>136</v>
      </c>
      <c r="F40" s="3">
        <v>52</v>
      </c>
      <c r="G40" s="3" t="s">
        <v>273</v>
      </c>
      <c r="H40" s="3" t="s">
        <v>273</v>
      </c>
      <c r="I40" s="3">
        <v>62.67</v>
      </c>
      <c r="J40" s="3">
        <v>8.19</v>
      </c>
      <c r="K40" s="3" t="s">
        <v>273</v>
      </c>
      <c r="L40" s="3" t="s">
        <v>273</v>
      </c>
      <c r="M40" s="3" t="s">
        <v>273</v>
      </c>
      <c r="N40" s="3" t="s">
        <v>273</v>
      </c>
      <c r="O40" s="3">
        <v>33</v>
      </c>
      <c r="P40" s="3">
        <v>14.61</v>
      </c>
      <c r="Q40" s="3" t="s">
        <v>273</v>
      </c>
      <c r="R40" s="3" t="s">
        <v>273</v>
      </c>
      <c r="S40" s="3">
        <v>2.2999999999999998</v>
      </c>
      <c r="T40" s="3">
        <v>0.8</v>
      </c>
      <c r="U40" s="3" t="s">
        <v>273</v>
      </c>
      <c r="V40" s="3" t="s">
        <v>273</v>
      </c>
      <c r="W40" s="3" t="s">
        <v>273</v>
      </c>
      <c r="X40" s="3" t="s">
        <v>273</v>
      </c>
      <c r="Y40" s="3" t="s">
        <v>289</v>
      </c>
      <c r="Z40" s="3">
        <v>38</v>
      </c>
      <c r="AA40" s="3">
        <v>61.92</v>
      </c>
      <c r="AB40" s="3">
        <v>5.57</v>
      </c>
      <c r="AC40" s="3" t="s">
        <v>331</v>
      </c>
      <c r="AD40" s="3" t="s">
        <v>1274</v>
      </c>
      <c r="AE40" s="3" t="s">
        <v>1109</v>
      </c>
      <c r="AF40" s="3" t="s">
        <v>272</v>
      </c>
      <c r="AG40" s="3" t="s">
        <v>924</v>
      </c>
      <c r="AH40" s="3" t="s">
        <v>1432</v>
      </c>
      <c r="AI40" s="3" t="s">
        <v>910</v>
      </c>
      <c r="AJ40" s="3">
        <v>2000</v>
      </c>
      <c r="AK40" s="3">
        <v>21</v>
      </c>
      <c r="AL40" s="3">
        <v>240</v>
      </c>
      <c r="AM40" s="3">
        <f t="shared" si="7"/>
        <v>8</v>
      </c>
      <c r="AN40" s="3" t="s">
        <v>263</v>
      </c>
      <c r="AO40" s="3">
        <v>3</v>
      </c>
      <c r="AP40" s="3" t="s">
        <v>273</v>
      </c>
      <c r="AQ40" s="3" t="s">
        <v>269</v>
      </c>
      <c r="AR40" s="3" t="s">
        <v>269</v>
      </c>
      <c r="AS40" s="3" t="s">
        <v>269</v>
      </c>
      <c r="AT40" s="3" t="s">
        <v>1444</v>
      </c>
      <c r="AU40" s="3" t="s">
        <v>1444</v>
      </c>
      <c r="AV40" s="3" t="s">
        <v>269</v>
      </c>
      <c r="AW40" s="3">
        <v>3</v>
      </c>
      <c r="AX40" s="3" t="s">
        <v>273</v>
      </c>
      <c r="AY40" s="3" t="s">
        <v>273</v>
      </c>
      <c r="AZ40" s="3" t="s">
        <v>273</v>
      </c>
      <c r="BA40" s="3" t="s">
        <v>273</v>
      </c>
      <c r="BB40" s="3" t="s">
        <v>273</v>
      </c>
      <c r="BC40" s="3" t="s">
        <v>1453</v>
      </c>
      <c r="BD40" t="s">
        <v>273</v>
      </c>
      <c r="BE40" s="3" t="s">
        <v>266</v>
      </c>
      <c r="BF40" s="3" t="s">
        <v>1465</v>
      </c>
      <c r="BG40" s="3" t="s">
        <v>273</v>
      </c>
      <c r="BH40" s="3">
        <v>0.1</v>
      </c>
      <c r="BI40" s="3" t="s">
        <v>273</v>
      </c>
      <c r="BJ40" s="3" t="s">
        <v>273</v>
      </c>
      <c r="BK40" s="3" t="s">
        <v>273</v>
      </c>
      <c r="BL40" t="s">
        <v>1073</v>
      </c>
      <c r="BM40">
        <v>7</v>
      </c>
      <c r="BN40" s="3">
        <v>23</v>
      </c>
      <c r="BO40" t="s">
        <v>1539</v>
      </c>
      <c r="BP40" s="3" t="s">
        <v>687</v>
      </c>
      <c r="BQ40" s="3" t="s">
        <v>243</v>
      </c>
      <c r="BR40" s="3">
        <v>46</v>
      </c>
      <c r="BS40" s="3">
        <v>2</v>
      </c>
      <c r="BT40" s="3" t="s">
        <v>1130</v>
      </c>
      <c r="BU40" s="3">
        <v>7</v>
      </c>
      <c r="BV40" s="3" t="s">
        <v>389</v>
      </c>
      <c r="BW40" s="3" t="s">
        <v>1468</v>
      </c>
      <c r="BX40" t="s">
        <v>273</v>
      </c>
      <c r="BY40" t="s">
        <v>736</v>
      </c>
      <c r="BZ40" t="s">
        <v>736</v>
      </c>
      <c r="CA40" t="s">
        <v>1497</v>
      </c>
      <c r="CB40" t="s">
        <v>1235</v>
      </c>
      <c r="CC40" t="s">
        <v>1236</v>
      </c>
      <c r="CD40" t="s">
        <v>1222</v>
      </c>
      <c r="CE40" t="s">
        <v>1211</v>
      </c>
      <c r="CF40" t="s">
        <v>1211</v>
      </c>
      <c r="CG40" t="s">
        <v>1255</v>
      </c>
      <c r="CH40" t="s">
        <v>1163</v>
      </c>
      <c r="CI40" s="21"/>
      <c r="CK40"/>
      <c r="CO40"/>
      <c r="CP40"/>
      <c r="CQ40"/>
      <c r="CT40"/>
      <c r="CU40"/>
      <c r="CV40"/>
      <c r="CW40"/>
      <c r="CX40"/>
      <c r="CY40"/>
      <c r="CZ40"/>
      <c r="DA40"/>
      <c r="DB40"/>
      <c r="DD40"/>
      <c r="DG40" s="33"/>
    </row>
    <row r="41" spans="1:111" s="3" customFormat="1">
      <c r="A41" s="3" t="s">
        <v>134</v>
      </c>
      <c r="B41" s="3" t="s">
        <v>1341</v>
      </c>
      <c r="C41" s="3">
        <v>2023</v>
      </c>
      <c r="D41" t="s">
        <v>1360</v>
      </c>
      <c r="E41" s="3" t="s">
        <v>136</v>
      </c>
      <c r="F41" s="3">
        <v>73</v>
      </c>
      <c r="G41" s="3" t="s">
        <v>273</v>
      </c>
      <c r="H41" s="3" t="s">
        <v>273</v>
      </c>
      <c r="I41" s="3">
        <v>61.71</v>
      </c>
      <c r="J41" s="3">
        <v>9.59</v>
      </c>
      <c r="K41" s="3" t="s">
        <v>273</v>
      </c>
      <c r="L41" s="3" t="s">
        <v>273</v>
      </c>
      <c r="M41" s="3" t="s">
        <v>273</v>
      </c>
      <c r="N41" s="3" t="s">
        <v>273</v>
      </c>
      <c r="O41" s="3">
        <v>26.62</v>
      </c>
      <c r="P41" s="3">
        <v>13.03</v>
      </c>
      <c r="Q41" s="3" t="s">
        <v>273</v>
      </c>
      <c r="R41" s="3" t="s">
        <v>273</v>
      </c>
      <c r="S41" s="3">
        <v>2.2000000000000002</v>
      </c>
      <c r="T41" s="3">
        <v>0.6</v>
      </c>
      <c r="U41" s="3" t="s">
        <v>273</v>
      </c>
      <c r="V41" s="3" t="s">
        <v>273</v>
      </c>
      <c r="W41" s="3" t="s">
        <v>273</v>
      </c>
      <c r="X41" s="3" t="s">
        <v>273</v>
      </c>
      <c r="Y41" s="3" t="s">
        <v>289</v>
      </c>
      <c r="Z41" s="3">
        <v>38</v>
      </c>
      <c r="AA41" s="3">
        <v>61.92</v>
      </c>
      <c r="AB41" s="3">
        <v>5.57</v>
      </c>
      <c r="AC41" s="3" t="s">
        <v>331</v>
      </c>
      <c r="AD41" s="3" t="s">
        <v>1274</v>
      </c>
      <c r="AE41" s="3" t="s">
        <v>1109</v>
      </c>
      <c r="AF41" s="3" t="s">
        <v>272</v>
      </c>
      <c r="AG41" s="3" t="s">
        <v>924</v>
      </c>
      <c r="AH41" s="3" t="s">
        <v>1432</v>
      </c>
      <c r="AI41" s="3" t="s">
        <v>910</v>
      </c>
      <c r="AJ41" s="3">
        <v>2000</v>
      </c>
      <c r="AK41" s="3">
        <v>21</v>
      </c>
      <c r="AL41" s="3">
        <v>240</v>
      </c>
      <c r="AM41" s="3">
        <f t="shared" ref="AM41" si="13">AJ41*AL41/60000</f>
        <v>8</v>
      </c>
      <c r="AN41" s="3" t="s">
        <v>263</v>
      </c>
      <c r="AO41" s="3">
        <v>3</v>
      </c>
      <c r="AP41" s="3" t="s">
        <v>273</v>
      </c>
      <c r="AQ41" s="3" t="s">
        <v>269</v>
      </c>
      <c r="AR41" s="3" t="s">
        <v>269</v>
      </c>
      <c r="AS41" s="3" t="s">
        <v>269</v>
      </c>
      <c r="AT41" s="3" t="s">
        <v>1444</v>
      </c>
      <c r="AU41" s="3" t="s">
        <v>1444</v>
      </c>
      <c r="AV41" s="3" t="s">
        <v>269</v>
      </c>
      <c r="AW41" s="3">
        <v>3</v>
      </c>
      <c r="AX41" s="3" t="s">
        <v>273</v>
      </c>
      <c r="AY41" s="3" t="s">
        <v>273</v>
      </c>
      <c r="AZ41" s="3" t="s">
        <v>273</v>
      </c>
      <c r="BA41" s="3" t="s">
        <v>273</v>
      </c>
      <c r="BB41" s="3" t="s">
        <v>273</v>
      </c>
      <c r="BC41" s="3" t="s">
        <v>1453</v>
      </c>
      <c r="BD41" t="s">
        <v>273</v>
      </c>
      <c r="BE41" s="3" t="s">
        <v>266</v>
      </c>
      <c r="BF41" s="3" t="s">
        <v>1465</v>
      </c>
      <c r="BG41" s="3" t="s">
        <v>273</v>
      </c>
      <c r="BH41" s="3">
        <v>0.1</v>
      </c>
      <c r="BI41" s="3" t="s">
        <v>273</v>
      </c>
      <c r="BJ41" s="3" t="s">
        <v>273</v>
      </c>
      <c r="BK41" s="3" t="s">
        <v>273</v>
      </c>
      <c r="BL41" t="s">
        <v>1073</v>
      </c>
      <c r="BM41">
        <v>7</v>
      </c>
      <c r="BN41" s="3">
        <v>23</v>
      </c>
      <c r="BO41" t="s">
        <v>1539</v>
      </c>
      <c r="BP41" s="3" t="s">
        <v>687</v>
      </c>
      <c r="BQ41" s="3" t="s">
        <v>243</v>
      </c>
      <c r="BR41" s="3">
        <v>46</v>
      </c>
      <c r="BS41" s="3">
        <v>2</v>
      </c>
      <c r="BT41" s="3" t="s">
        <v>1130</v>
      </c>
      <c r="BU41" s="3">
        <v>7</v>
      </c>
      <c r="BV41" s="3" t="s">
        <v>389</v>
      </c>
      <c r="BW41" s="3" t="s">
        <v>1468</v>
      </c>
      <c r="BX41" t="s">
        <v>273</v>
      </c>
      <c r="BY41" t="s">
        <v>736</v>
      </c>
      <c r="BZ41" t="s">
        <v>736</v>
      </c>
      <c r="CA41" t="s">
        <v>1497</v>
      </c>
      <c r="CB41" t="s">
        <v>1211</v>
      </c>
      <c r="CC41" t="s">
        <v>1211</v>
      </c>
      <c r="CD41" t="s">
        <v>1211</v>
      </c>
      <c r="CE41" t="s">
        <v>1211</v>
      </c>
      <c r="CF41" t="s">
        <v>1211</v>
      </c>
      <c r="CG41" t="s">
        <v>1255</v>
      </c>
      <c r="CH41" t="s">
        <v>1163</v>
      </c>
      <c r="CI41" s="21"/>
      <c r="CK41"/>
      <c r="CL41"/>
      <c r="CM41"/>
      <c r="CN41"/>
      <c r="CO41"/>
      <c r="CP41"/>
      <c r="CQ41"/>
      <c r="CR41"/>
      <c r="CS41"/>
      <c r="CT41"/>
      <c r="CU41"/>
      <c r="CV41"/>
      <c r="CW41"/>
      <c r="CX41"/>
      <c r="CY41"/>
      <c r="CZ41"/>
      <c r="DA41"/>
      <c r="DB41"/>
      <c r="DC41"/>
      <c r="DD41"/>
      <c r="DE41"/>
      <c r="DF41"/>
      <c r="DG41" s="33"/>
    </row>
    <row r="42" spans="1:111">
      <c r="A42" t="s">
        <v>137</v>
      </c>
      <c r="B42" t="s">
        <v>1342</v>
      </c>
      <c r="C42">
        <v>2025</v>
      </c>
      <c r="D42" s="3" t="s">
        <v>1368</v>
      </c>
      <c r="E42" t="s">
        <v>140</v>
      </c>
      <c r="F42">
        <v>26</v>
      </c>
      <c r="G42" t="s">
        <v>273</v>
      </c>
      <c r="H42" t="s">
        <v>273</v>
      </c>
      <c r="I42">
        <v>63.35</v>
      </c>
      <c r="J42">
        <v>8.74</v>
      </c>
      <c r="K42">
        <v>23.33</v>
      </c>
      <c r="L42">
        <v>7.75</v>
      </c>
      <c r="M42" t="s">
        <v>273</v>
      </c>
      <c r="N42" t="s">
        <v>273</v>
      </c>
      <c r="O42">
        <v>30.07</v>
      </c>
      <c r="P42">
        <v>9.5</v>
      </c>
      <c r="Q42" t="s">
        <v>273</v>
      </c>
      <c r="R42" t="s">
        <v>273</v>
      </c>
      <c r="S42">
        <v>1.91</v>
      </c>
      <c r="T42">
        <v>0.67</v>
      </c>
      <c r="U42" t="s">
        <v>273</v>
      </c>
      <c r="V42" t="s">
        <v>273</v>
      </c>
      <c r="W42" t="s">
        <v>273</v>
      </c>
      <c r="X42" t="s">
        <v>273</v>
      </c>
      <c r="Y42" t="s">
        <v>302</v>
      </c>
      <c r="Z42">
        <v>24</v>
      </c>
      <c r="AA42">
        <v>63.19</v>
      </c>
      <c r="AB42">
        <v>10.32</v>
      </c>
      <c r="AC42" t="s">
        <v>527</v>
      </c>
      <c r="AD42" t="s">
        <v>1270</v>
      </c>
      <c r="AE42" t="s">
        <v>1283</v>
      </c>
      <c r="AF42" t="s">
        <v>272</v>
      </c>
      <c r="AG42" t="s">
        <v>1421</v>
      </c>
      <c r="AH42" t="s">
        <v>1432</v>
      </c>
      <c r="AI42" t="s">
        <v>910</v>
      </c>
      <c r="AJ42">
        <v>2000</v>
      </c>
      <c r="AK42">
        <v>30</v>
      </c>
      <c r="AL42">
        <v>186</v>
      </c>
      <c r="AM42">
        <f t="shared" si="7"/>
        <v>6.2</v>
      </c>
      <c r="AN42" t="s">
        <v>263</v>
      </c>
      <c r="AO42">
        <v>3</v>
      </c>
      <c r="AP42" t="s">
        <v>428</v>
      </c>
      <c r="AQ42" t="s">
        <v>1444</v>
      </c>
      <c r="AR42" t="s">
        <v>269</v>
      </c>
      <c r="AS42" t="s">
        <v>269</v>
      </c>
      <c r="AT42" t="s">
        <v>1444</v>
      </c>
      <c r="AU42" t="s">
        <v>269</v>
      </c>
      <c r="AV42" t="s">
        <v>269</v>
      </c>
      <c r="AW42">
        <v>3</v>
      </c>
      <c r="AX42">
        <v>0.2</v>
      </c>
      <c r="AY42" t="s">
        <v>273</v>
      </c>
      <c r="AZ42">
        <v>2.5</v>
      </c>
      <c r="BA42">
        <v>2.5</v>
      </c>
      <c r="BB42" t="s">
        <v>273</v>
      </c>
      <c r="BC42" t="s">
        <v>1457</v>
      </c>
      <c r="BD42" t="s">
        <v>273</v>
      </c>
      <c r="BE42" t="s">
        <v>276</v>
      </c>
      <c r="BF42" t="s">
        <v>1464</v>
      </c>
      <c r="BG42">
        <v>0.01</v>
      </c>
      <c r="BH42">
        <v>0.1</v>
      </c>
      <c r="BI42" t="s">
        <v>273</v>
      </c>
      <c r="BJ42" t="s">
        <v>273</v>
      </c>
      <c r="BK42" t="s">
        <v>273</v>
      </c>
      <c r="BL42" t="s">
        <v>1073</v>
      </c>
      <c r="BM42">
        <v>7</v>
      </c>
      <c r="BN42">
        <v>43</v>
      </c>
      <c r="BO42" t="s">
        <v>1539</v>
      </c>
      <c r="BP42" s="3" t="s">
        <v>687</v>
      </c>
      <c r="BQ42" s="3" t="s">
        <v>243</v>
      </c>
      <c r="BR42">
        <v>44</v>
      </c>
      <c r="BS42">
        <v>2</v>
      </c>
      <c r="BT42" s="3" t="s">
        <v>1130</v>
      </c>
      <c r="BU42">
        <v>2</v>
      </c>
      <c r="BV42" t="s">
        <v>1133</v>
      </c>
      <c r="BW42" s="3" t="s">
        <v>1468</v>
      </c>
      <c r="BX42" t="s">
        <v>273</v>
      </c>
      <c r="BY42" t="s">
        <v>736</v>
      </c>
      <c r="BZ42" t="s">
        <v>736</v>
      </c>
      <c r="CA42" t="s">
        <v>1498</v>
      </c>
      <c r="CB42" t="s">
        <v>1237</v>
      </c>
      <c r="CC42" t="s">
        <v>1238</v>
      </c>
      <c r="CD42" t="s">
        <v>1218</v>
      </c>
      <c r="CE42" t="s">
        <v>1239</v>
      </c>
      <c r="CF42" t="s">
        <v>1219</v>
      </c>
      <c r="CG42" t="s">
        <v>1256</v>
      </c>
      <c r="CH42" t="s">
        <v>1164</v>
      </c>
      <c r="DC42" s="2"/>
      <c r="DG42" s="33"/>
    </row>
    <row r="43" spans="1:111" s="3" customFormat="1">
      <c r="A43" s="3" t="s">
        <v>141</v>
      </c>
      <c r="B43" s="3" t="s">
        <v>1343</v>
      </c>
      <c r="C43" s="3">
        <v>2025</v>
      </c>
      <c r="D43" s="3" t="s">
        <v>1369</v>
      </c>
      <c r="E43" s="3" t="s">
        <v>144</v>
      </c>
      <c r="F43" s="3">
        <v>48</v>
      </c>
      <c r="G43" s="3" t="s">
        <v>273</v>
      </c>
      <c r="H43" s="3" t="s">
        <v>273</v>
      </c>
      <c r="I43" s="3">
        <v>59.4</v>
      </c>
      <c r="J43" s="3">
        <v>7.53</v>
      </c>
      <c r="K43" s="3" t="s">
        <v>273</v>
      </c>
      <c r="L43" s="3" t="s">
        <v>273</v>
      </c>
      <c r="M43" s="3" t="s">
        <v>273</v>
      </c>
      <c r="N43" s="3" t="s">
        <v>273</v>
      </c>
      <c r="O43" s="3">
        <v>29.02</v>
      </c>
      <c r="P43" s="3">
        <v>10.66</v>
      </c>
      <c r="Q43" s="3" t="s">
        <v>273</v>
      </c>
      <c r="R43" s="3" t="s">
        <v>273</v>
      </c>
      <c r="S43" s="3">
        <v>1.85</v>
      </c>
      <c r="T43" s="3">
        <v>0.71</v>
      </c>
      <c r="U43" s="3" t="s">
        <v>273</v>
      </c>
      <c r="V43" s="3" t="s">
        <v>273</v>
      </c>
      <c r="W43" s="3" t="s">
        <v>273</v>
      </c>
      <c r="X43" s="3" t="s">
        <v>273</v>
      </c>
      <c r="Y43" s="3" t="s">
        <v>289</v>
      </c>
      <c r="Z43" s="3">
        <v>92</v>
      </c>
      <c r="AA43" s="3">
        <v>60.46</v>
      </c>
      <c r="AB43" s="3">
        <v>8.89</v>
      </c>
      <c r="AC43" s="3" t="s">
        <v>331</v>
      </c>
      <c r="AD43" s="3" t="s">
        <v>1274</v>
      </c>
      <c r="AE43" s="3" t="s">
        <v>1284</v>
      </c>
      <c r="AF43" s="3" t="s">
        <v>272</v>
      </c>
      <c r="AG43" s="3" t="s">
        <v>1422</v>
      </c>
      <c r="AH43" s="3" t="s">
        <v>1432</v>
      </c>
      <c r="AI43" s="3" t="s">
        <v>910</v>
      </c>
      <c r="AJ43" s="3">
        <v>2000</v>
      </c>
      <c r="AK43" s="3">
        <v>30</v>
      </c>
      <c r="AL43" s="3">
        <v>180</v>
      </c>
      <c r="AM43" s="3">
        <f t="shared" si="7"/>
        <v>6</v>
      </c>
      <c r="AN43" s="3" t="s">
        <v>263</v>
      </c>
      <c r="AO43" s="3">
        <v>3</v>
      </c>
      <c r="AP43" s="3" t="s">
        <v>428</v>
      </c>
      <c r="AQ43" s="3" t="s">
        <v>1444</v>
      </c>
      <c r="AR43" s="3" t="s">
        <v>269</v>
      </c>
      <c r="AS43" s="3" t="s">
        <v>269</v>
      </c>
      <c r="AT43" s="3" t="s">
        <v>269</v>
      </c>
      <c r="AU43" s="3" t="s">
        <v>269</v>
      </c>
      <c r="AV43" s="3" t="s">
        <v>269</v>
      </c>
      <c r="AW43" s="3">
        <v>3</v>
      </c>
      <c r="AX43" s="3">
        <v>0.3</v>
      </c>
      <c r="AY43" s="3" t="s">
        <v>273</v>
      </c>
      <c r="AZ43" s="3">
        <v>3</v>
      </c>
      <c r="BA43" s="3">
        <v>3</v>
      </c>
      <c r="BB43" s="3" t="s">
        <v>273</v>
      </c>
      <c r="BC43" s="3" t="s">
        <v>273</v>
      </c>
      <c r="BD43" t="s">
        <v>273</v>
      </c>
      <c r="BE43" s="3" t="s">
        <v>386</v>
      </c>
      <c r="BF43" s="3" t="s">
        <v>1464</v>
      </c>
      <c r="BG43" s="3">
        <v>0.01</v>
      </c>
      <c r="BH43" s="3">
        <v>0.08</v>
      </c>
      <c r="BI43" s="3" t="s">
        <v>273</v>
      </c>
      <c r="BJ43" s="3" t="s">
        <v>273</v>
      </c>
      <c r="BK43" s="3" t="s">
        <v>273</v>
      </c>
      <c r="BL43" t="s">
        <v>1072</v>
      </c>
      <c r="BM43">
        <v>1</v>
      </c>
      <c r="BN43" s="3">
        <v>33</v>
      </c>
      <c r="BO43" t="s">
        <v>1552</v>
      </c>
      <c r="BP43" s="3" t="s">
        <v>1119</v>
      </c>
      <c r="BQ43" s="3" t="s">
        <v>243</v>
      </c>
      <c r="BR43" s="3">
        <v>60</v>
      </c>
      <c r="BS43" s="3">
        <v>2</v>
      </c>
      <c r="BT43" s="3" t="s">
        <v>1130</v>
      </c>
      <c r="BU43" s="3">
        <v>2</v>
      </c>
      <c r="BV43" s="3" t="s">
        <v>1138</v>
      </c>
      <c r="BW43" s="3" t="s">
        <v>1468</v>
      </c>
      <c r="BX43" t="s">
        <v>273</v>
      </c>
      <c r="BY43" t="s">
        <v>736</v>
      </c>
      <c r="BZ43" t="s">
        <v>736</v>
      </c>
      <c r="CA43" t="s">
        <v>1495</v>
      </c>
      <c r="CB43" t="s">
        <v>1191</v>
      </c>
      <c r="CC43" t="s">
        <v>1240</v>
      </c>
      <c r="CD43" t="s">
        <v>1224</v>
      </c>
      <c r="CE43" t="s">
        <v>1211</v>
      </c>
      <c r="CF43" t="s">
        <v>1211</v>
      </c>
      <c r="CG43" t="s">
        <v>1257</v>
      </c>
      <c r="CH43" t="s">
        <v>1165</v>
      </c>
      <c r="CI43" s="21"/>
      <c r="CK43"/>
      <c r="CO43"/>
      <c r="CP43"/>
      <c r="CQ43"/>
      <c r="CS43"/>
      <c r="CT43"/>
      <c r="CU43"/>
      <c r="CV43"/>
      <c r="CY43"/>
      <c r="CZ43"/>
      <c r="DA43"/>
      <c r="DB43"/>
      <c r="DC43" s="4"/>
      <c r="DD43" s="8"/>
      <c r="DE43"/>
      <c r="DG43" s="33"/>
    </row>
    <row r="44" spans="1:111" s="3" customFormat="1">
      <c r="A44" s="3" t="s">
        <v>141</v>
      </c>
      <c r="B44" s="3" t="s">
        <v>1343</v>
      </c>
      <c r="C44" s="3">
        <v>2025</v>
      </c>
      <c r="D44" t="s">
        <v>1369</v>
      </c>
      <c r="E44" s="3" t="s">
        <v>144</v>
      </c>
      <c r="F44" s="3">
        <v>60</v>
      </c>
      <c r="G44" s="3" t="s">
        <v>273</v>
      </c>
      <c r="H44" s="3" t="s">
        <v>273</v>
      </c>
      <c r="I44" s="3">
        <v>59.6</v>
      </c>
      <c r="J44" s="3">
        <v>10</v>
      </c>
      <c r="K44" s="3" t="s">
        <v>273</v>
      </c>
      <c r="L44" s="3" t="s">
        <v>273</v>
      </c>
      <c r="M44" s="3" t="s">
        <v>273</v>
      </c>
      <c r="N44" s="3" t="s">
        <v>273</v>
      </c>
      <c r="O44" s="3">
        <v>27.23</v>
      </c>
      <c r="P44" s="3">
        <v>13.65</v>
      </c>
      <c r="Q44" s="3" t="s">
        <v>273</v>
      </c>
      <c r="R44" s="3" t="s">
        <v>273</v>
      </c>
      <c r="S44" s="3">
        <v>1.71</v>
      </c>
      <c r="T44" s="3">
        <v>0.65</v>
      </c>
      <c r="U44" s="3" t="s">
        <v>273</v>
      </c>
      <c r="V44" s="3" t="s">
        <v>273</v>
      </c>
      <c r="W44" s="3" t="s">
        <v>273</v>
      </c>
      <c r="X44" s="3" t="s">
        <v>273</v>
      </c>
      <c r="Y44" s="3" t="s">
        <v>289</v>
      </c>
      <c r="Z44" s="3">
        <v>92</v>
      </c>
      <c r="AA44" s="3">
        <v>60.46</v>
      </c>
      <c r="AB44" s="3">
        <v>8.89</v>
      </c>
      <c r="AC44" s="3" t="s">
        <v>331</v>
      </c>
      <c r="AD44" s="3" t="s">
        <v>1274</v>
      </c>
      <c r="AE44" s="3" t="s">
        <v>1284</v>
      </c>
      <c r="AF44" s="3" t="s">
        <v>272</v>
      </c>
      <c r="AG44" s="3" t="s">
        <v>1422</v>
      </c>
      <c r="AH44" s="3" t="s">
        <v>1432</v>
      </c>
      <c r="AI44" s="3" t="s">
        <v>910</v>
      </c>
      <c r="AJ44" s="3">
        <v>2000</v>
      </c>
      <c r="AK44" s="3">
        <v>30</v>
      </c>
      <c r="AL44" s="3">
        <v>180</v>
      </c>
      <c r="AM44" s="3">
        <f t="shared" ref="AM44" si="14">AJ44*AL44/60000</f>
        <v>6</v>
      </c>
      <c r="AN44" s="3" t="s">
        <v>263</v>
      </c>
      <c r="AO44" s="3">
        <v>3</v>
      </c>
      <c r="AP44" s="3" t="s">
        <v>428</v>
      </c>
      <c r="AQ44" s="3" t="s">
        <v>1444</v>
      </c>
      <c r="AR44" s="3" t="s">
        <v>269</v>
      </c>
      <c r="AS44" s="3" t="s">
        <v>269</v>
      </c>
      <c r="AT44" s="3" t="s">
        <v>269</v>
      </c>
      <c r="AU44" s="3" t="s">
        <v>269</v>
      </c>
      <c r="AV44" s="3" t="s">
        <v>269</v>
      </c>
      <c r="AW44" s="3">
        <v>3</v>
      </c>
      <c r="AX44" s="3">
        <v>0.3</v>
      </c>
      <c r="AY44" s="3" t="s">
        <v>273</v>
      </c>
      <c r="AZ44" s="3">
        <v>3</v>
      </c>
      <c r="BA44" s="3">
        <v>3</v>
      </c>
      <c r="BB44" s="3" t="s">
        <v>273</v>
      </c>
      <c r="BC44" s="3" t="s">
        <v>273</v>
      </c>
      <c r="BD44" t="s">
        <v>273</v>
      </c>
      <c r="BE44" s="3" t="s">
        <v>386</v>
      </c>
      <c r="BF44" s="3" t="s">
        <v>1464</v>
      </c>
      <c r="BG44" s="3">
        <v>0.01</v>
      </c>
      <c r="BH44" s="3">
        <v>0.08</v>
      </c>
      <c r="BI44" s="3" t="s">
        <v>273</v>
      </c>
      <c r="BJ44" s="3" t="s">
        <v>273</v>
      </c>
      <c r="BK44" s="3" t="s">
        <v>273</v>
      </c>
      <c r="BL44" t="s">
        <v>1072</v>
      </c>
      <c r="BM44">
        <v>1</v>
      </c>
      <c r="BN44" s="3">
        <v>33</v>
      </c>
      <c r="BO44" t="s">
        <v>1552</v>
      </c>
      <c r="BP44" s="3" t="s">
        <v>1119</v>
      </c>
      <c r="BQ44" s="3" t="s">
        <v>243</v>
      </c>
      <c r="BR44" s="3">
        <v>60</v>
      </c>
      <c r="BS44" s="3">
        <v>2</v>
      </c>
      <c r="BT44" s="3" t="s">
        <v>1130</v>
      </c>
      <c r="BU44" s="3">
        <v>2</v>
      </c>
      <c r="BV44" s="3" t="s">
        <v>1138</v>
      </c>
      <c r="BW44" s="3" t="s">
        <v>1468</v>
      </c>
      <c r="BX44" t="s">
        <v>273</v>
      </c>
      <c r="BY44" t="s">
        <v>736</v>
      </c>
      <c r="BZ44" t="s">
        <v>736</v>
      </c>
      <c r="CA44" t="s">
        <v>1495</v>
      </c>
      <c r="CB44" t="s">
        <v>1191</v>
      </c>
      <c r="CC44" t="s">
        <v>1240</v>
      </c>
      <c r="CD44" t="s">
        <v>1224</v>
      </c>
      <c r="CE44" t="s">
        <v>1211</v>
      </c>
      <c r="CF44" t="s">
        <v>1211</v>
      </c>
      <c r="CG44" t="s">
        <v>1257</v>
      </c>
      <c r="CH44" t="s">
        <v>1165</v>
      </c>
      <c r="CI44" s="21"/>
      <c r="CK44"/>
      <c r="CL44"/>
      <c r="CM44"/>
      <c r="CN44"/>
      <c r="CO44"/>
      <c r="CP44"/>
      <c r="CQ44"/>
      <c r="CR44"/>
      <c r="CS44"/>
      <c r="CT44"/>
      <c r="CU44"/>
      <c r="CV44"/>
      <c r="CW44"/>
      <c r="CX44"/>
      <c r="CY44"/>
      <c r="CZ44"/>
      <c r="DA44"/>
      <c r="DB44"/>
      <c r="DC44" s="4"/>
      <c r="DD44" s="8"/>
      <c r="DE44"/>
      <c r="DF44"/>
      <c r="DG44" s="33"/>
    </row>
    <row r="45" spans="1:111">
      <c r="A45" t="s">
        <v>145</v>
      </c>
      <c r="B45" t="s">
        <v>1344</v>
      </c>
      <c r="C45">
        <v>2021</v>
      </c>
      <c r="D45" s="3" t="s">
        <v>1370</v>
      </c>
      <c r="E45" t="s">
        <v>148</v>
      </c>
      <c r="F45">
        <v>18</v>
      </c>
      <c r="G45" t="s">
        <v>273</v>
      </c>
      <c r="H45" t="s">
        <v>273</v>
      </c>
      <c r="I45">
        <v>55.3</v>
      </c>
      <c r="J45">
        <v>10.1</v>
      </c>
      <c r="K45">
        <v>17.399999999999999</v>
      </c>
      <c r="L45">
        <v>10.1</v>
      </c>
      <c r="M45" t="s">
        <v>273</v>
      </c>
      <c r="N45" t="s">
        <v>273</v>
      </c>
      <c r="O45">
        <v>41.8</v>
      </c>
      <c r="P45">
        <v>11.3</v>
      </c>
      <c r="Q45" t="s">
        <v>273</v>
      </c>
      <c r="R45" t="s">
        <v>273</v>
      </c>
      <c r="S45" t="s">
        <v>273</v>
      </c>
      <c r="T45" t="s">
        <v>273</v>
      </c>
      <c r="U45" t="s">
        <v>273</v>
      </c>
      <c r="V45" t="s">
        <v>273</v>
      </c>
      <c r="W45">
        <v>3</v>
      </c>
      <c r="X45">
        <v>4</v>
      </c>
      <c r="Y45" t="s">
        <v>290</v>
      </c>
      <c r="Z45" t="s">
        <v>736</v>
      </c>
      <c r="AA45" t="s">
        <v>273</v>
      </c>
      <c r="AB45" t="s">
        <v>273</v>
      </c>
      <c r="AC45" t="s">
        <v>527</v>
      </c>
      <c r="AD45" t="s">
        <v>1270</v>
      </c>
      <c r="AE45" t="s">
        <v>1112</v>
      </c>
      <c r="AF45" t="s">
        <v>272</v>
      </c>
      <c r="AG45" t="s">
        <v>1423</v>
      </c>
      <c r="AH45" t="s">
        <v>1432</v>
      </c>
      <c r="AI45" t="s">
        <v>910</v>
      </c>
      <c r="AJ45">
        <v>2700</v>
      </c>
      <c r="AK45">
        <v>30</v>
      </c>
      <c r="AL45">
        <v>253</v>
      </c>
      <c r="AM45">
        <f t="shared" si="7"/>
        <v>11.385</v>
      </c>
      <c r="AN45" t="s">
        <v>566</v>
      </c>
      <c r="AO45">
        <v>3</v>
      </c>
      <c r="AP45" t="s">
        <v>271</v>
      </c>
      <c r="AQ45" t="s">
        <v>1444</v>
      </c>
      <c r="AR45" t="s">
        <v>269</v>
      </c>
      <c r="AS45" t="s">
        <v>269</v>
      </c>
      <c r="AT45" t="s">
        <v>269</v>
      </c>
      <c r="AU45" t="s">
        <v>269</v>
      </c>
      <c r="AV45" t="s">
        <v>269</v>
      </c>
      <c r="AW45">
        <v>3</v>
      </c>
      <c r="AX45" t="s">
        <v>273</v>
      </c>
      <c r="AY45" t="s">
        <v>273</v>
      </c>
      <c r="AZ45" t="s">
        <v>273</v>
      </c>
      <c r="BA45" t="s">
        <v>273</v>
      </c>
      <c r="BB45" t="s">
        <v>273</v>
      </c>
      <c r="BC45" t="s">
        <v>273</v>
      </c>
      <c r="BD45" t="s">
        <v>273</v>
      </c>
      <c r="BE45" t="s">
        <v>270</v>
      </c>
      <c r="BF45" t="s">
        <v>1466</v>
      </c>
      <c r="BG45">
        <v>7.8E-2</v>
      </c>
      <c r="BH45" t="s">
        <v>273</v>
      </c>
      <c r="BI45" t="s">
        <v>273</v>
      </c>
      <c r="BJ45" t="s">
        <v>273</v>
      </c>
      <c r="BK45" t="s">
        <v>273</v>
      </c>
      <c r="BL45" t="s">
        <v>1073</v>
      </c>
      <c r="BM45">
        <v>8</v>
      </c>
      <c r="BN45">
        <v>25</v>
      </c>
      <c r="BO45" t="s">
        <v>1553</v>
      </c>
      <c r="BP45" s="3" t="s">
        <v>687</v>
      </c>
      <c r="BQ45" s="3" t="s">
        <v>243</v>
      </c>
      <c r="BR45">
        <v>59.4</v>
      </c>
      <c r="BS45">
        <v>2.7</v>
      </c>
      <c r="BT45" s="3" t="s">
        <v>1130</v>
      </c>
      <c r="BU45">
        <v>2</v>
      </c>
      <c r="BV45" t="s">
        <v>1133</v>
      </c>
      <c r="BW45" t="s">
        <v>1473</v>
      </c>
      <c r="BX45" t="s">
        <v>1475</v>
      </c>
      <c r="BY45" t="s">
        <v>285</v>
      </c>
      <c r="BZ45" t="s">
        <v>736</v>
      </c>
      <c r="CA45" t="s">
        <v>1499</v>
      </c>
      <c r="CB45" t="s">
        <v>1211</v>
      </c>
      <c r="CC45" t="s">
        <v>1211</v>
      </c>
      <c r="CD45" t="s">
        <v>1211</v>
      </c>
      <c r="CE45" t="s">
        <v>1207</v>
      </c>
      <c r="CF45" t="s">
        <v>1222</v>
      </c>
      <c r="CG45" t="s">
        <v>1258</v>
      </c>
      <c r="CH45" t="s">
        <v>1166</v>
      </c>
      <c r="DG45" s="33"/>
    </row>
    <row r="46" spans="1:111" s="3" customFormat="1">
      <c r="A46" s="3" t="s">
        <v>149</v>
      </c>
      <c r="B46" s="3" t="s">
        <v>1345</v>
      </c>
      <c r="C46" s="3">
        <v>2025</v>
      </c>
      <c r="D46" s="3" t="s">
        <v>1371</v>
      </c>
      <c r="E46" s="3" t="s">
        <v>152</v>
      </c>
      <c r="F46" s="3">
        <v>37</v>
      </c>
      <c r="G46" s="3" t="s">
        <v>273</v>
      </c>
      <c r="H46" s="3" t="s">
        <v>273</v>
      </c>
      <c r="I46" s="3">
        <v>65.599999999999994</v>
      </c>
      <c r="J46" s="3">
        <v>8.1</v>
      </c>
      <c r="K46" s="3">
        <v>23.7</v>
      </c>
      <c r="L46" s="3">
        <v>10.5</v>
      </c>
      <c r="M46" s="3" t="s">
        <v>273</v>
      </c>
      <c r="N46" s="3" t="s">
        <v>273</v>
      </c>
      <c r="O46" s="3" t="s">
        <v>273</v>
      </c>
      <c r="P46" s="3" t="s">
        <v>273</v>
      </c>
      <c r="Q46" s="3" t="s">
        <v>273</v>
      </c>
      <c r="R46" s="3" t="s">
        <v>273</v>
      </c>
      <c r="S46" s="3" t="s">
        <v>273</v>
      </c>
      <c r="T46" s="3" t="s">
        <v>273</v>
      </c>
      <c r="U46" s="3">
        <v>2</v>
      </c>
      <c r="V46" s="3">
        <v>1.25</v>
      </c>
      <c r="W46" s="3" t="s">
        <v>273</v>
      </c>
      <c r="X46" s="3" t="s">
        <v>273</v>
      </c>
      <c r="Y46" s="3" t="s">
        <v>290</v>
      </c>
      <c r="Z46" s="3">
        <v>30</v>
      </c>
      <c r="AA46" s="3">
        <v>62.2</v>
      </c>
      <c r="AB46" s="3">
        <v>8.1</v>
      </c>
      <c r="AC46" s="3" t="s">
        <v>331</v>
      </c>
      <c r="AD46" s="3" t="s">
        <v>1273</v>
      </c>
      <c r="AE46" s="3" t="s">
        <v>1107</v>
      </c>
      <c r="AF46" s="3" t="s">
        <v>272</v>
      </c>
      <c r="AG46" s="3" t="s">
        <v>1424</v>
      </c>
      <c r="AH46" s="3" t="s">
        <v>1432</v>
      </c>
      <c r="AI46" s="3" t="s">
        <v>910</v>
      </c>
      <c r="AJ46" s="3">
        <v>2000</v>
      </c>
      <c r="AK46" s="3">
        <v>3.1</v>
      </c>
      <c r="AL46" s="3">
        <v>240</v>
      </c>
      <c r="AM46" s="3">
        <f t="shared" si="7"/>
        <v>8</v>
      </c>
      <c r="AN46" s="3" t="s">
        <v>341</v>
      </c>
      <c r="AO46" s="3">
        <v>3</v>
      </c>
      <c r="AP46" s="3" t="s">
        <v>273</v>
      </c>
      <c r="AQ46" s="3" t="s">
        <v>269</v>
      </c>
      <c r="AR46" s="3" t="s">
        <v>269</v>
      </c>
      <c r="AS46" s="3" t="s">
        <v>269</v>
      </c>
      <c r="AT46" s="3" t="s">
        <v>269</v>
      </c>
      <c r="AU46" s="3" t="s">
        <v>269</v>
      </c>
      <c r="AV46" s="3" t="s">
        <v>269</v>
      </c>
      <c r="AW46" s="3">
        <v>3</v>
      </c>
      <c r="AX46" t="s">
        <v>273</v>
      </c>
      <c r="AY46" t="s">
        <v>273</v>
      </c>
      <c r="AZ46" t="s">
        <v>273</v>
      </c>
      <c r="BA46" t="s">
        <v>273</v>
      </c>
      <c r="BB46" t="s">
        <v>273</v>
      </c>
      <c r="BC46" t="s">
        <v>1453</v>
      </c>
      <c r="BD46" t="s">
        <v>273</v>
      </c>
      <c r="BE46" s="3" t="s">
        <v>266</v>
      </c>
      <c r="BF46" s="3" t="s">
        <v>273</v>
      </c>
      <c r="BG46" s="3" t="s">
        <v>273</v>
      </c>
      <c r="BH46" s="3" t="s">
        <v>273</v>
      </c>
      <c r="BI46" s="3" t="s">
        <v>273</v>
      </c>
      <c r="BJ46" s="3" t="s">
        <v>273</v>
      </c>
      <c r="BK46" s="3" t="s">
        <v>273</v>
      </c>
      <c r="BL46" t="s">
        <v>1073</v>
      </c>
      <c r="BM46">
        <v>8</v>
      </c>
      <c r="BN46" s="3">
        <v>23</v>
      </c>
      <c r="BO46" t="s">
        <v>1554</v>
      </c>
      <c r="BP46" s="3" t="s">
        <v>687</v>
      </c>
      <c r="BQ46" s="3" t="s">
        <v>243</v>
      </c>
      <c r="BR46" s="3">
        <v>30</v>
      </c>
      <c r="BS46" s="3">
        <v>2</v>
      </c>
      <c r="BT46" s="3" t="s">
        <v>1130</v>
      </c>
      <c r="BU46" s="3">
        <v>4</v>
      </c>
      <c r="BV46" s="3" t="s">
        <v>389</v>
      </c>
      <c r="BW46" s="3" t="s">
        <v>1468</v>
      </c>
      <c r="BX46" s="3" t="s">
        <v>1476</v>
      </c>
      <c r="BY46" s="3" t="s">
        <v>285</v>
      </c>
      <c r="BZ46" t="s">
        <v>736</v>
      </c>
      <c r="CA46" t="s">
        <v>1500</v>
      </c>
      <c r="CB46" t="s">
        <v>1531</v>
      </c>
      <c r="CC46" t="s">
        <v>1532</v>
      </c>
      <c r="CD46" t="s">
        <v>1224</v>
      </c>
      <c r="CE46" t="s">
        <v>1241</v>
      </c>
      <c r="CF46" t="s">
        <v>1219</v>
      </c>
      <c r="CG46" t="s">
        <v>1259</v>
      </c>
      <c r="CH46" t="s">
        <v>1167</v>
      </c>
      <c r="CI46" s="21"/>
      <c r="CK46"/>
      <c r="CT46"/>
      <c r="CU46"/>
      <c r="CV46"/>
      <c r="CW46"/>
      <c r="CX46"/>
      <c r="CY46"/>
      <c r="CZ46"/>
      <c r="DA46"/>
      <c r="DB46"/>
      <c r="DC46" s="4"/>
      <c r="DD46"/>
      <c r="DG46" s="33"/>
    </row>
    <row r="47" spans="1:111" s="3" customFormat="1">
      <c r="A47" s="3" t="s">
        <v>149</v>
      </c>
      <c r="B47" s="3" t="s">
        <v>1345</v>
      </c>
      <c r="C47" s="3">
        <v>2025</v>
      </c>
      <c r="D47" t="s">
        <v>1371</v>
      </c>
      <c r="E47" s="3" t="s">
        <v>152</v>
      </c>
      <c r="F47" s="3">
        <v>33</v>
      </c>
      <c r="G47" s="3" t="s">
        <v>273</v>
      </c>
      <c r="H47" s="3" t="s">
        <v>273</v>
      </c>
      <c r="I47" s="3">
        <v>64</v>
      </c>
      <c r="J47" s="3">
        <v>8.9</v>
      </c>
      <c r="K47" s="3">
        <v>28.1</v>
      </c>
      <c r="L47" s="3">
        <v>9.6999999999999993</v>
      </c>
      <c r="M47" s="3" t="s">
        <v>273</v>
      </c>
      <c r="N47" s="3" t="s">
        <v>273</v>
      </c>
      <c r="O47" s="3" t="s">
        <v>273</v>
      </c>
      <c r="P47" s="3" t="s">
        <v>273</v>
      </c>
      <c r="Q47" s="3" t="s">
        <v>273</v>
      </c>
      <c r="R47" s="3" t="s">
        <v>273</v>
      </c>
      <c r="S47" s="3" t="s">
        <v>273</v>
      </c>
      <c r="T47" s="3" t="s">
        <v>273</v>
      </c>
      <c r="U47" s="3">
        <v>2</v>
      </c>
      <c r="V47" s="3">
        <v>0.75</v>
      </c>
      <c r="W47" s="3" t="s">
        <v>273</v>
      </c>
      <c r="X47" s="3" t="s">
        <v>273</v>
      </c>
      <c r="Y47" s="3" t="s">
        <v>290</v>
      </c>
      <c r="Z47" s="3">
        <v>30</v>
      </c>
      <c r="AA47" s="3">
        <v>62.2</v>
      </c>
      <c r="AB47" s="3">
        <v>8.1</v>
      </c>
      <c r="AC47" s="3" t="s">
        <v>331</v>
      </c>
      <c r="AD47" s="3" t="s">
        <v>1273</v>
      </c>
      <c r="AE47" s="3" t="s">
        <v>1113</v>
      </c>
      <c r="AF47" s="3" t="s">
        <v>272</v>
      </c>
      <c r="AG47" s="3" t="s">
        <v>1424</v>
      </c>
      <c r="AH47" s="3" t="s">
        <v>1432</v>
      </c>
      <c r="AI47" s="3" t="s">
        <v>910</v>
      </c>
      <c r="AJ47" s="3">
        <v>2000</v>
      </c>
      <c r="AK47" s="3">
        <v>3.1</v>
      </c>
      <c r="AL47" s="3">
        <v>240</v>
      </c>
      <c r="AM47" s="3">
        <f t="shared" ref="AM47" si="15">AJ47*AL47/60000</f>
        <v>8</v>
      </c>
      <c r="AN47" s="3" t="s">
        <v>341</v>
      </c>
      <c r="AO47" s="3">
        <v>3</v>
      </c>
      <c r="AP47" s="3" t="s">
        <v>273</v>
      </c>
      <c r="AQ47" s="3" t="s">
        <v>269</v>
      </c>
      <c r="AR47" s="3" t="s">
        <v>269</v>
      </c>
      <c r="AS47" s="3" t="s">
        <v>269</v>
      </c>
      <c r="AT47" s="3" t="s">
        <v>269</v>
      </c>
      <c r="AU47" s="3" t="s">
        <v>269</v>
      </c>
      <c r="AV47" s="3" t="s">
        <v>269</v>
      </c>
      <c r="AW47" s="3">
        <v>3</v>
      </c>
      <c r="AX47" t="s">
        <v>273</v>
      </c>
      <c r="AY47" t="s">
        <v>273</v>
      </c>
      <c r="AZ47" t="s">
        <v>273</v>
      </c>
      <c r="BA47" t="s">
        <v>273</v>
      </c>
      <c r="BB47" t="s">
        <v>273</v>
      </c>
      <c r="BC47" t="s">
        <v>1453</v>
      </c>
      <c r="BD47" t="s">
        <v>273</v>
      </c>
      <c r="BE47" s="3" t="s">
        <v>266</v>
      </c>
      <c r="BF47" s="3" t="s">
        <v>273</v>
      </c>
      <c r="BG47" s="3" t="s">
        <v>273</v>
      </c>
      <c r="BH47" s="3" t="s">
        <v>273</v>
      </c>
      <c r="BI47" s="3" t="s">
        <v>273</v>
      </c>
      <c r="BJ47" s="3" t="s">
        <v>273</v>
      </c>
      <c r="BK47" s="3" t="s">
        <v>273</v>
      </c>
      <c r="BL47" t="s">
        <v>1073</v>
      </c>
      <c r="BM47">
        <v>8</v>
      </c>
      <c r="BN47" s="3">
        <v>23</v>
      </c>
      <c r="BO47" t="s">
        <v>1554</v>
      </c>
      <c r="BP47" s="3" t="s">
        <v>687</v>
      </c>
      <c r="BQ47" s="3" t="s">
        <v>243</v>
      </c>
      <c r="BR47" s="3">
        <v>30</v>
      </c>
      <c r="BS47" s="3">
        <v>2</v>
      </c>
      <c r="BT47" s="3" t="s">
        <v>1130</v>
      </c>
      <c r="BU47" s="3">
        <v>4</v>
      </c>
      <c r="BV47" s="3" t="s">
        <v>389</v>
      </c>
      <c r="BW47" s="3" t="s">
        <v>1468</v>
      </c>
      <c r="BX47" s="3" t="s">
        <v>1476</v>
      </c>
      <c r="BY47" s="3" t="s">
        <v>285</v>
      </c>
      <c r="BZ47" t="s">
        <v>736</v>
      </c>
      <c r="CA47" t="s">
        <v>1500</v>
      </c>
      <c r="CB47" t="s">
        <v>1531</v>
      </c>
      <c r="CC47" t="s">
        <v>1532</v>
      </c>
      <c r="CD47" t="s">
        <v>1224</v>
      </c>
      <c r="CE47" t="s">
        <v>1241</v>
      </c>
      <c r="CF47" t="s">
        <v>1219</v>
      </c>
      <c r="CG47" t="s">
        <v>1259</v>
      </c>
      <c r="CH47" t="s">
        <v>1167</v>
      </c>
      <c r="CI47" s="21"/>
      <c r="CK47"/>
      <c r="CL47"/>
      <c r="CM47"/>
      <c r="CN47"/>
      <c r="CO47"/>
      <c r="CP47"/>
      <c r="CQ47"/>
      <c r="CR47"/>
      <c r="CS47"/>
      <c r="CT47"/>
      <c r="CU47"/>
      <c r="CV47"/>
      <c r="CW47"/>
      <c r="CX47"/>
      <c r="CY47"/>
      <c r="CZ47"/>
      <c r="DA47"/>
      <c r="DB47"/>
      <c r="DC47" s="4"/>
      <c r="DD47"/>
      <c r="DE47"/>
      <c r="DF47"/>
      <c r="DG47" s="33"/>
    </row>
    <row r="48" spans="1:111">
      <c r="A48" t="s">
        <v>153</v>
      </c>
      <c r="B48" t="s">
        <v>1346</v>
      </c>
      <c r="C48">
        <v>2015</v>
      </c>
      <c r="D48" s="3" t="s">
        <v>1372</v>
      </c>
      <c r="E48" t="s">
        <v>156</v>
      </c>
      <c r="F48">
        <v>12</v>
      </c>
      <c r="G48" t="s">
        <v>273</v>
      </c>
      <c r="H48" t="s">
        <v>273</v>
      </c>
      <c r="I48" t="s">
        <v>273</v>
      </c>
      <c r="J48" t="s">
        <v>273</v>
      </c>
      <c r="K48" t="s">
        <v>273</v>
      </c>
      <c r="L48" t="s">
        <v>273</v>
      </c>
      <c r="M48" t="s">
        <v>273</v>
      </c>
      <c r="N48" t="s">
        <v>273</v>
      </c>
      <c r="O48" t="s">
        <v>273</v>
      </c>
      <c r="P48" t="s">
        <v>273</v>
      </c>
      <c r="Q48" t="s">
        <v>273</v>
      </c>
      <c r="R48" t="s">
        <v>273</v>
      </c>
      <c r="S48" t="s">
        <v>273</v>
      </c>
      <c r="T48" t="s">
        <v>273</v>
      </c>
      <c r="U48" t="s">
        <v>273</v>
      </c>
      <c r="V48" t="s">
        <v>273</v>
      </c>
      <c r="W48" t="s">
        <v>273</v>
      </c>
      <c r="X48" t="s">
        <v>273</v>
      </c>
      <c r="Y48" t="s">
        <v>736</v>
      </c>
      <c r="Z48">
        <v>10</v>
      </c>
      <c r="AA48" t="s">
        <v>273</v>
      </c>
      <c r="AB48" t="s">
        <v>273</v>
      </c>
      <c r="AC48" t="s">
        <v>331</v>
      </c>
      <c r="AD48" t="s">
        <v>1271</v>
      </c>
      <c r="AE48" t="s">
        <v>1272</v>
      </c>
      <c r="AF48" t="s">
        <v>272</v>
      </c>
      <c r="AG48" t="s">
        <v>1425</v>
      </c>
      <c r="AH48" t="s">
        <v>1432</v>
      </c>
      <c r="AI48" t="s">
        <v>910</v>
      </c>
      <c r="AJ48">
        <v>1985</v>
      </c>
      <c r="AK48">
        <v>37</v>
      </c>
      <c r="AM48">
        <v>4</v>
      </c>
      <c r="AO48">
        <v>3</v>
      </c>
      <c r="AP48" t="s">
        <v>273</v>
      </c>
      <c r="AQ48" t="s">
        <v>269</v>
      </c>
      <c r="AR48" t="s">
        <v>269</v>
      </c>
      <c r="AS48" t="s">
        <v>269</v>
      </c>
      <c r="AT48" t="s">
        <v>269</v>
      </c>
      <c r="AU48" t="s">
        <v>269</v>
      </c>
      <c r="AV48" t="s">
        <v>269</v>
      </c>
      <c r="AW48">
        <v>3</v>
      </c>
      <c r="AX48" t="s">
        <v>273</v>
      </c>
      <c r="AY48" t="s">
        <v>273</v>
      </c>
      <c r="AZ48" t="s">
        <v>273</v>
      </c>
      <c r="BA48" t="s">
        <v>273</v>
      </c>
      <c r="BB48" t="s">
        <v>273</v>
      </c>
      <c r="BC48" t="s">
        <v>273</v>
      </c>
      <c r="BD48" t="s">
        <v>273</v>
      </c>
      <c r="BE48" t="s">
        <v>273</v>
      </c>
      <c r="BF48" t="s">
        <v>273</v>
      </c>
      <c r="BG48" t="s">
        <v>273</v>
      </c>
      <c r="BH48" t="s">
        <v>273</v>
      </c>
      <c r="BI48" t="s">
        <v>273</v>
      </c>
      <c r="BJ48" t="s">
        <v>273</v>
      </c>
      <c r="BK48" t="s">
        <v>273</v>
      </c>
      <c r="BL48" t="s">
        <v>992</v>
      </c>
      <c r="BM48" t="s">
        <v>910</v>
      </c>
      <c r="BN48">
        <v>48</v>
      </c>
      <c r="BO48" t="s">
        <v>910</v>
      </c>
      <c r="BP48" s="3" t="s">
        <v>1120</v>
      </c>
      <c r="BQ48" t="s">
        <v>594</v>
      </c>
      <c r="BR48">
        <v>32</v>
      </c>
      <c r="BS48" t="s">
        <v>910</v>
      </c>
      <c r="BT48" t="s">
        <v>594</v>
      </c>
      <c r="BU48">
        <v>2</v>
      </c>
      <c r="BV48" s="3" t="s">
        <v>910</v>
      </c>
      <c r="BW48" t="s">
        <v>1477</v>
      </c>
      <c r="BX48" t="s">
        <v>273</v>
      </c>
      <c r="BY48" t="s">
        <v>736</v>
      </c>
      <c r="BZ48" t="s">
        <v>736</v>
      </c>
      <c r="CA48" t="s">
        <v>1178</v>
      </c>
      <c r="CB48" t="s">
        <v>1211</v>
      </c>
      <c r="CC48" t="s">
        <v>1192</v>
      </c>
      <c r="CD48" t="s">
        <v>1218</v>
      </c>
      <c r="CE48" t="s">
        <v>1212</v>
      </c>
      <c r="CF48" t="s">
        <v>1219</v>
      </c>
      <c r="CG48" t="s">
        <v>1517</v>
      </c>
      <c r="CH48" t="s">
        <v>1060</v>
      </c>
      <c r="DC48" s="2"/>
      <c r="DG48" s="33"/>
    </row>
    <row r="49" spans="1:111" s="3" customFormat="1">
      <c r="A49" s="3" t="s">
        <v>157</v>
      </c>
      <c r="B49" s="3" t="s">
        <v>1347</v>
      </c>
      <c r="C49" s="3">
        <v>2019</v>
      </c>
      <c r="D49" s="3" t="s">
        <v>1364</v>
      </c>
      <c r="E49" s="3" t="s">
        <v>160</v>
      </c>
      <c r="F49" s="3">
        <v>42</v>
      </c>
      <c r="G49" s="3" t="s">
        <v>273</v>
      </c>
      <c r="H49" s="3" t="s">
        <v>273</v>
      </c>
      <c r="I49" s="3">
        <v>61.14</v>
      </c>
      <c r="J49" s="3">
        <v>7.13</v>
      </c>
      <c r="K49" s="3">
        <v>15.5</v>
      </c>
      <c r="L49" s="3">
        <v>6.36</v>
      </c>
      <c r="M49" s="3" t="s">
        <v>273</v>
      </c>
      <c r="N49" s="3" t="s">
        <v>273</v>
      </c>
      <c r="O49" s="3" t="s">
        <v>273</v>
      </c>
      <c r="P49" s="3" t="s">
        <v>273</v>
      </c>
      <c r="Q49" s="3" t="s">
        <v>273</v>
      </c>
      <c r="R49" s="3" t="s">
        <v>273</v>
      </c>
      <c r="S49" s="3">
        <v>1.33</v>
      </c>
      <c r="T49" s="3">
        <v>0.45</v>
      </c>
      <c r="U49" s="3" t="s">
        <v>273</v>
      </c>
      <c r="V49" s="3" t="s">
        <v>273</v>
      </c>
      <c r="W49" s="3" t="s">
        <v>273</v>
      </c>
      <c r="X49" s="3" t="s">
        <v>273</v>
      </c>
      <c r="Y49" s="3" t="s">
        <v>290</v>
      </c>
      <c r="Z49" s="3">
        <v>40</v>
      </c>
      <c r="AA49" s="3">
        <v>62.68</v>
      </c>
      <c r="AB49" s="3">
        <v>5.73</v>
      </c>
      <c r="AC49" s="3" t="s">
        <v>331</v>
      </c>
      <c r="AD49" s="3" t="s">
        <v>1271</v>
      </c>
      <c r="AE49" s="3" t="s">
        <v>1272</v>
      </c>
      <c r="AF49" s="3" t="s">
        <v>272</v>
      </c>
      <c r="AG49" s="3" t="s">
        <v>1426</v>
      </c>
      <c r="AH49" s="3" t="s">
        <v>1432</v>
      </c>
      <c r="AI49" s="3" t="s">
        <v>910</v>
      </c>
      <c r="AJ49" s="3">
        <v>2000</v>
      </c>
      <c r="AK49" s="3">
        <v>30</v>
      </c>
      <c r="AL49" s="3">
        <v>210</v>
      </c>
      <c r="AM49" s="3">
        <f>AJ49*AL49/60000</f>
        <v>7</v>
      </c>
      <c r="AN49" s="3" t="s">
        <v>604</v>
      </c>
      <c r="AO49" s="3">
        <v>3</v>
      </c>
      <c r="AP49" s="3" t="s">
        <v>428</v>
      </c>
      <c r="AQ49" s="3" t="s">
        <v>1444</v>
      </c>
      <c r="AR49" s="3" t="s">
        <v>269</v>
      </c>
      <c r="AS49" s="3" t="s">
        <v>269</v>
      </c>
      <c r="AT49" s="3" t="s">
        <v>269</v>
      </c>
      <c r="AU49" s="3" t="s">
        <v>269</v>
      </c>
      <c r="AV49" s="3" t="s">
        <v>269</v>
      </c>
      <c r="AW49" s="3">
        <v>3</v>
      </c>
      <c r="AX49" s="3" t="s">
        <v>273</v>
      </c>
      <c r="AY49" s="3" t="s">
        <v>273</v>
      </c>
      <c r="AZ49" s="3">
        <v>2</v>
      </c>
      <c r="BA49" s="3">
        <v>2</v>
      </c>
      <c r="BB49" s="3" t="s">
        <v>273</v>
      </c>
      <c r="BC49" s="3" t="s">
        <v>273</v>
      </c>
      <c r="BD49" t="s">
        <v>273</v>
      </c>
      <c r="BE49" s="3" t="s">
        <v>266</v>
      </c>
      <c r="BF49" s="3" t="s">
        <v>1464</v>
      </c>
      <c r="BG49" s="3">
        <v>0.01</v>
      </c>
      <c r="BH49" s="3">
        <v>0.1</v>
      </c>
      <c r="BI49" s="3" t="s">
        <v>273</v>
      </c>
      <c r="BJ49" s="3" t="s">
        <v>273</v>
      </c>
      <c r="BK49" s="3" t="s">
        <v>273</v>
      </c>
      <c r="BL49" t="s">
        <v>1073</v>
      </c>
      <c r="BM49">
        <v>13</v>
      </c>
      <c r="BN49" s="3">
        <v>264</v>
      </c>
      <c r="BO49" t="s">
        <v>1555</v>
      </c>
      <c r="BP49" s="3" t="s">
        <v>1121</v>
      </c>
      <c r="BQ49" s="3" t="s">
        <v>243</v>
      </c>
      <c r="BR49" s="3">
        <v>40</v>
      </c>
      <c r="BS49" s="3">
        <v>40</v>
      </c>
      <c r="BT49" s="3" t="s">
        <v>910</v>
      </c>
      <c r="BU49" s="3" t="s">
        <v>910</v>
      </c>
      <c r="BV49" s="3" t="s">
        <v>910</v>
      </c>
      <c r="BW49" s="3" t="s">
        <v>1141</v>
      </c>
      <c r="BX49" t="s">
        <v>1142</v>
      </c>
      <c r="BY49" s="3" t="s">
        <v>285</v>
      </c>
      <c r="BZ49" t="s">
        <v>736</v>
      </c>
      <c r="CA49" t="s">
        <v>1501</v>
      </c>
      <c r="CB49" t="s">
        <v>1211</v>
      </c>
      <c r="CC49" t="s">
        <v>1211</v>
      </c>
      <c r="CD49" t="s">
        <v>1211</v>
      </c>
      <c r="CE49" t="s">
        <v>1211</v>
      </c>
      <c r="CF49" t="s">
        <v>1211</v>
      </c>
      <c r="CG49" t="s">
        <v>1260</v>
      </c>
      <c r="CH49" t="s">
        <v>1168</v>
      </c>
      <c r="CI49" s="21"/>
      <c r="CJ49"/>
      <c r="CK49"/>
      <c r="CQ49"/>
      <c r="CU49"/>
      <c r="CV49"/>
      <c r="CW49"/>
      <c r="CX49"/>
      <c r="CY49"/>
      <c r="CZ49"/>
      <c r="DA49"/>
      <c r="DB49"/>
      <c r="DD49"/>
      <c r="DG49" s="33"/>
    </row>
    <row r="50" spans="1:111" s="3" customFormat="1">
      <c r="A50" s="3" t="s">
        <v>180</v>
      </c>
      <c r="B50" s="3" t="s">
        <v>1348</v>
      </c>
      <c r="C50" s="3">
        <v>2025</v>
      </c>
      <c r="D50" s="3" t="s">
        <v>1360</v>
      </c>
      <c r="E50" s="3" t="s">
        <v>182</v>
      </c>
      <c r="F50" s="3">
        <v>30</v>
      </c>
      <c r="G50" s="3" t="s">
        <v>273</v>
      </c>
      <c r="H50" s="3" t="s">
        <v>273</v>
      </c>
      <c r="I50" s="3">
        <v>64</v>
      </c>
      <c r="J50" s="3">
        <v>9.32</v>
      </c>
      <c r="K50" s="3" t="s">
        <v>273</v>
      </c>
      <c r="L50" s="3" t="s">
        <v>273</v>
      </c>
      <c r="M50" s="3" t="s">
        <v>273</v>
      </c>
      <c r="N50" s="3" t="s">
        <v>273</v>
      </c>
      <c r="O50" s="3">
        <v>22</v>
      </c>
      <c r="P50" s="3">
        <v>9.8000000000000007</v>
      </c>
      <c r="Q50" s="3" t="s">
        <v>273</v>
      </c>
      <c r="R50" s="3" t="s">
        <v>273</v>
      </c>
      <c r="S50" s="3">
        <v>2.13</v>
      </c>
      <c r="T50" s="3">
        <v>0.79</v>
      </c>
      <c r="U50" s="3" t="s">
        <v>273</v>
      </c>
      <c r="V50" s="3" t="s">
        <v>273</v>
      </c>
      <c r="W50" s="3" t="s">
        <v>273</v>
      </c>
      <c r="X50" s="3" t="s">
        <v>273</v>
      </c>
      <c r="Y50" s="3" t="s">
        <v>289</v>
      </c>
      <c r="Z50" s="3">
        <v>37</v>
      </c>
      <c r="AA50" s="3">
        <v>60.86</v>
      </c>
      <c r="AB50" s="3">
        <v>7.23</v>
      </c>
      <c r="AC50" s="3" t="s">
        <v>331</v>
      </c>
      <c r="AD50" s="3" t="s">
        <v>1274</v>
      </c>
      <c r="AE50" s="3" t="s">
        <v>1114</v>
      </c>
      <c r="AF50" s="3" t="s">
        <v>272</v>
      </c>
      <c r="AG50" s="3" t="s">
        <v>1655</v>
      </c>
      <c r="AH50" s="3" t="s">
        <v>1432</v>
      </c>
      <c r="AI50" s="3" t="s">
        <v>910</v>
      </c>
      <c r="AJ50" s="3">
        <v>1500</v>
      </c>
      <c r="AK50" s="3">
        <v>31</v>
      </c>
      <c r="AL50" s="3">
        <v>300</v>
      </c>
      <c r="AM50" s="3">
        <f t="shared" ref="AM50:AM61" si="16">AJ50*AL50/60000</f>
        <v>7.5</v>
      </c>
      <c r="AN50" s="3" t="s">
        <v>628</v>
      </c>
      <c r="AO50" s="3">
        <v>3</v>
      </c>
      <c r="AP50" s="3" t="s">
        <v>271</v>
      </c>
      <c r="AQ50" s="3" t="s">
        <v>269</v>
      </c>
      <c r="AR50" s="3" t="s">
        <v>269</v>
      </c>
      <c r="AS50" s="3" t="s">
        <v>269</v>
      </c>
      <c r="AT50" s="3" t="s">
        <v>1444</v>
      </c>
      <c r="AU50" s="3" t="s">
        <v>1444</v>
      </c>
      <c r="AV50" s="3" t="s">
        <v>269</v>
      </c>
      <c r="AW50" s="3">
        <v>3</v>
      </c>
      <c r="AX50" t="s">
        <v>273</v>
      </c>
      <c r="AY50" t="s">
        <v>273</v>
      </c>
      <c r="AZ50">
        <v>2.5</v>
      </c>
      <c r="BA50">
        <v>2.5</v>
      </c>
      <c r="BB50" t="s">
        <v>273</v>
      </c>
      <c r="BC50" t="s">
        <v>273</v>
      </c>
      <c r="BD50" t="s">
        <v>273</v>
      </c>
      <c r="BE50" s="3" t="s">
        <v>266</v>
      </c>
      <c r="BF50" s="3" t="s">
        <v>1465</v>
      </c>
      <c r="BG50" s="3" t="s">
        <v>273</v>
      </c>
      <c r="BH50" s="3">
        <v>0.1</v>
      </c>
      <c r="BI50" s="3" t="s">
        <v>273</v>
      </c>
      <c r="BJ50" s="3" t="s">
        <v>273</v>
      </c>
      <c r="BK50" s="3" t="s">
        <v>273</v>
      </c>
      <c r="BL50" t="s">
        <v>1073</v>
      </c>
      <c r="BM50">
        <v>7</v>
      </c>
      <c r="BN50" s="3">
        <v>15</v>
      </c>
      <c r="BO50" t="s">
        <v>1556</v>
      </c>
      <c r="BP50" s="3" t="s">
        <v>687</v>
      </c>
      <c r="BQ50" s="3" t="s">
        <v>243</v>
      </c>
      <c r="BR50" s="3">
        <v>45</v>
      </c>
      <c r="BS50" s="3">
        <v>1.5</v>
      </c>
      <c r="BT50" s="3" t="s">
        <v>1130</v>
      </c>
      <c r="BU50" s="3">
        <v>4</v>
      </c>
      <c r="BV50" s="3" t="s">
        <v>389</v>
      </c>
      <c r="BW50" s="3" t="s">
        <v>1468</v>
      </c>
      <c r="BX50" t="s">
        <v>273</v>
      </c>
      <c r="BY50" s="3" t="s">
        <v>285</v>
      </c>
      <c r="BZ50" t="s">
        <v>736</v>
      </c>
      <c r="CA50" t="s">
        <v>1502</v>
      </c>
      <c r="CB50" t="s">
        <v>1211</v>
      </c>
      <c r="CC50" t="s">
        <v>1533</v>
      </c>
      <c r="CD50" t="s">
        <v>1218</v>
      </c>
      <c r="CE50" t="s">
        <v>1211</v>
      </c>
      <c r="CF50" t="s">
        <v>1211</v>
      </c>
      <c r="CG50" t="s">
        <v>1261</v>
      </c>
      <c r="CH50" t="s">
        <v>1169</v>
      </c>
      <c r="CI50" s="21"/>
      <c r="CK50"/>
      <c r="CP50"/>
      <c r="CQ50"/>
      <c r="CR50"/>
      <c r="CS50"/>
      <c r="CT50"/>
      <c r="CU50"/>
      <c r="CV50"/>
      <c r="CX50"/>
      <c r="CY50"/>
      <c r="CZ50"/>
      <c r="DA50"/>
      <c r="DB50"/>
      <c r="DC50" s="4"/>
      <c r="DD50"/>
      <c r="DE50"/>
      <c r="DF50"/>
      <c r="DG50" s="33"/>
    </row>
    <row r="51" spans="1:111" s="3" customFormat="1">
      <c r="A51" s="3" t="s">
        <v>180</v>
      </c>
      <c r="B51" s="3" t="s">
        <v>1348</v>
      </c>
      <c r="C51" s="3">
        <v>2025</v>
      </c>
      <c r="D51" t="s">
        <v>1360</v>
      </c>
      <c r="E51" s="3" t="s">
        <v>182</v>
      </c>
      <c r="F51" s="3">
        <v>37</v>
      </c>
      <c r="G51" s="3" t="s">
        <v>273</v>
      </c>
      <c r="H51" s="3" t="s">
        <v>273</v>
      </c>
      <c r="I51" s="3">
        <v>63.57</v>
      </c>
      <c r="J51" s="3">
        <v>8.2799999999999994</v>
      </c>
      <c r="K51" s="3" t="s">
        <v>273</v>
      </c>
      <c r="L51" s="3" t="s">
        <v>273</v>
      </c>
      <c r="M51" s="3" t="s">
        <v>273</v>
      </c>
      <c r="N51" s="3" t="s">
        <v>273</v>
      </c>
      <c r="O51" s="3">
        <v>22.51</v>
      </c>
      <c r="P51" s="3">
        <v>12.3</v>
      </c>
      <c r="Q51" s="3" t="s">
        <v>273</v>
      </c>
      <c r="R51" s="3" t="s">
        <v>273</v>
      </c>
      <c r="S51" s="3">
        <v>1.92</v>
      </c>
      <c r="T51" s="3">
        <v>0.67</v>
      </c>
      <c r="U51" s="3" t="s">
        <v>273</v>
      </c>
      <c r="V51" s="3" t="s">
        <v>273</v>
      </c>
      <c r="W51" s="3" t="s">
        <v>273</v>
      </c>
      <c r="X51" s="3" t="s">
        <v>273</v>
      </c>
      <c r="Y51" s="3" t="s">
        <v>289</v>
      </c>
      <c r="Z51" s="3">
        <v>37</v>
      </c>
      <c r="AA51" s="3">
        <v>60.86</v>
      </c>
      <c r="AB51" s="3">
        <v>7.23</v>
      </c>
      <c r="AC51" s="3" t="s">
        <v>331</v>
      </c>
      <c r="AD51" s="3" t="s">
        <v>1274</v>
      </c>
      <c r="AE51" s="3" t="s">
        <v>1114</v>
      </c>
      <c r="AF51" s="3" t="s">
        <v>272</v>
      </c>
      <c r="AG51" s="3" t="s">
        <v>1655</v>
      </c>
      <c r="AH51" s="3" t="s">
        <v>1432</v>
      </c>
      <c r="AI51" s="3" t="s">
        <v>910</v>
      </c>
      <c r="AJ51" s="3">
        <v>1500</v>
      </c>
      <c r="AK51" s="3">
        <v>31</v>
      </c>
      <c r="AL51" s="3">
        <v>300</v>
      </c>
      <c r="AM51" s="3">
        <f t="shared" ref="AM51" si="17">AJ51*AL51/60000</f>
        <v>7.5</v>
      </c>
      <c r="AN51" s="3" t="s">
        <v>628</v>
      </c>
      <c r="AO51" s="3">
        <v>3</v>
      </c>
      <c r="AP51" s="3" t="s">
        <v>271</v>
      </c>
      <c r="AQ51" s="3" t="s">
        <v>269</v>
      </c>
      <c r="AR51" s="3" t="s">
        <v>269</v>
      </c>
      <c r="AS51" s="3" t="s">
        <v>269</v>
      </c>
      <c r="AT51" s="3" t="s">
        <v>1444</v>
      </c>
      <c r="AU51" s="3" t="s">
        <v>1444</v>
      </c>
      <c r="AV51" s="3" t="s">
        <v>269</v>
      </c>
      <c r="AW51" s="3">
        <v>3</v>
      </c>
      <c r="AX51" t="s">
        <v>273</v>
      </c>
      <c r="AY51" t="s">
        <v>273</v>
      </c>
      <c r="AZ51">
        <v>2.5</v>
      </c>
      <c r="BA51">
        <v>2.5</v>
      </c>
      <c r="BB51" t="s">
        <v>273</v>
      </c>
      <c r="BC51" t="s">
        <v>273</v>
      </c>
      <c r="BD51" t="s">
        <v>273</v>
      </c>
      <c r="BE51" s="3" t="s">
        <v>266</v>
      </c>
      <c r="BF51" s="3" t="s">
        <v>1465</v>
      </c>
      <c r="BG51" s="3" t="s">
        <v>273</v>
      </c>
      <c r="BH51" s="3">
        <v>0.1</v>
      </c>
      <c r="BI51" s="3" t="s">
        <v>273</v>
      </c>
      <c r="BJ51" s="3" t="s">
        <v>273</v>
      </c>
      <c r="BK51" s="3" t="s">
        <v>273</v>
      </c>
      <c r="BL51" t="s">
        <v>1073</v>
      </c>
      <c r="BM51">
        <v>7</v>
      </c>
      <c r="BN51" s="3">
        <v>15</v>
      </c>
      <c r="BO51" t="s">
        <v>1556</v>
      </c>
      <c r="BP51" s="3" t="s">
        <v>687</v>
      </c>
      <c r="BQ51" s="3" t="s">
        <v>243</v>
      </c>
      <c r="BR51" s="3">
        <v>45</v>
      </c>
      <c r="BS51" s="3">
        <v>1.5</v>
      </c>
      <c r="BT51" s="3" t="s">
        <v>1130</v>
      </c>
      <c r="BU51">
        <v>4</v>
      </c>
      <c r="BV51" s="3" t="s">
        <v>389</v>
      </c>
      <c r="BW51" s="3" t="s">
        <v>1468</v>
      </c>
      <c r="BX51" t="s">
        <v>273</v>
      </c>
      <c r="BY51" s="3" t="s">
        <v>285</v>
      </c>
      <c r="BZ51" t="s">
        <v>736</v>
      </c>
      <c r="CA51" t="s">
        <v>1502</v>
      </c>
      <c r="CB51" t="s">
        <v>1211</v>
      </c>
      <c r="CC51" t="s">
        <v>1533</v>
      </c>
      <c r="CD51" t="s">
        <v>1218</v>
      </c>
      <c r="CE51" t="s">
        <v>1211</v>
      </c>
      <c r="CF51" t="s">
        <v>1211</v>
      </c>
      <c r="CG51" t="s">
        <v>1261</v>
      </c>
      <c r="CH51" t="s">
        <v>1169</v>
      </c>
      <c r="CI51" s="21"/>
      <c r="CK51"/>
      <c r="CL51"/>
      <c r="CM51"/>
      <c r="CN51"/>
      <c r="CO51"/>
      <c r="CP51"/>
      <c r="CQ51"/>
      <c r="CR51"/>
      <c r="CS51"/>
      <c r="CT51"/>
      <c r="CU51"/>
      <c r="CV51"/>
      <c r="CW51"/>
      <c r="CX51"/>
      <c r="CY51"/>
      <c r="CZ51"/>
      <c r="DA51"/>
      <c r="DB51"/>
      <c r="DC51" s="4"/>
      <c r="DD51"/>
      <c r="DE51"/>
      <c r="DF51"/>
      <c r="DG51" s="33"/>
    </row>
    <row r="52" spans="1:111">
      <c r="A52" t="s">
        <v>183</v>
      </c>
      <c r="B52" t="s">
        <v>1349</v>
      </c>
      <c r="C52">
        <v>2020</v>
      </c>
      <c r="D52" t="s">
        <v>1366</v>
      </c>
      <c r="E52" t="s">
        <v>185</v>
      </c>
      <c r="F52">
        <v>50</v>
      </c>
      <c r="G52">
        <v>50</v>
      </c>
      <c r="H52">
        <v>77</v>
      </c>
      <c r="I52">
        <v>65.5</v>
      </c>
      <c r="J52">
        <v>6.27</v>
      </c>
      <c r="K52">
        <v>26.1</v>
      </c>
      <c r="L52">
        <v>8.64</v>
      </c>
      <c r="M52" t="s">
        <v>273</v>
      </c>
      <c r="N52" t="s">
        <v>273</v>
      </c>
      <c r="O52" t="s">
        <v>273</v>
      </c>
      <c r="P52" t="s">
        <v>273</v>
      </c>
      <c r="Q52" t="s">
        <v>273</v>
      </c>
      <c r="R52" t="s">
        <v>273</v>
      </c>
      <c r="S52" t="s">
        <v>273</v>
      </c>
      <c r="T52" t="s">
        <v>273</v>
      </c>
      <c r="U52" t="s">
        <v>273</v>
      </c>
      <c r="V52" t="s">
        <v>273</v>
      </c>
      <c r="W52" t="s">
        <v>273</v>
      </c>
      <c r="X52" t="s">
        <v>273</v>
      </c>
      <c r="Y52" t="s">
        <v>290</v>
      </c>
      <c r="Z52">
        <v>13</v>
      </c>
      <c r="AA52">
        <v>64.400000000000006</v>
      </c>
      <c r="AB52">
        <v>8.65</v>
      </c>
      <c r="AC52" t="s">
        <v>527</v>
      </c>
      <c r="AD52" t="s">
        <v>1248</v>
      </c>
      <c r="AE52" t="s">
        <v>1285</v>
      </c>
      <c r="AF52" t="s">
        <v>272</v>
      </c>
      <c r="AG52" t="s">
        <v>1427</v>
      </c>
      <c r="AH52" t="s">
        <v>1432</v>
      </c>
      <c r="AI52" t="s">
        <v>910</v>
      </c>
      <c r="AJ52">
        <v>1800</v>
      </c>
      <c r="AK52">
        <v>35</v>
      </c>
      <c r="AL52">
        <v>202</v>
      </c>
      <c r="AM52" s="3">
        <f t="shared" si="16"/>
        <v>6.06</v>
      </c>
      <c r="AN52" t="s">
        <v>639</v>
      </c>
      <c r="AO52">
        <v>3</v>
      </c>
      <c r="AP52" t="s">
        <v>273</v>
      </c>
      <c r="AQ52" t="s">
        <v>269</v>
      </c>
      <c r="AR52" t="s">
        <v>269</v>
      </c>
      <c r="AS52" t="s">
        <v>1444</v>
      </c>
      <c r="AT52" t="s">
        <v>269</v>
      </c>
      <c r="AU52" t="s">
        <v>269</v>
      </c>
      <c r="AV52" t="s">
        <v>269</v>
      </c>
      <c r="AW52">
        <v>3</v>
      </c>
      <c r="AX52" t="s">
        <v>273</v>
      </c>
      <c r="AY52" t="s">
        <v>273</v>
      </c>
      <c r="AZ52" t="s">
        <v>273</v>
      </c>
      <c r="BA52" t="s">
        <v>273</v>
      </c>
      <c r="BB52" t="s">
        <v>273</v>
      </c>
      <c r="BC52" t="s">
        <v>1454</v>
      </c>
      <c r="BD52" t="s">
        <v>273</v>
      </c>
      <c r="BE52" t="s">
        <v>273</v>
      </c>
      <c r="BF52" t="s">
        <v>273</v>
      </c>
      <c r="BG52" t="s">
        <v>273</v>
      </c>
      <c r="BH52" t="s">
        <v>273</v>
      </c>
      <c r="BI52" t="s">
        <v>273</v>
      </c>
      <c r="BJ52" t="s">
        <v>273</v>
      </c>
      <c r="BK52" t="s">
        <v>273</v>
      </c>
      <c r="BL52" t="s">
        <v>1073</v>
      </c>
      <c r="BM52">
        <v>7</v>
      </c>
      <c r="BN52">
        <v>196</v>
      </c>
      <c r="BO52" t="s">
        <v>1557</v>
      </c>
      <c r="BP52" s="3" t="s">
        <v>1122</v>
      </c>
      <c r="BQ52" s="3" t="s">
        <v>243</v>
      </c>
      <c r="BR52">
        <v>48.6</v>
      </c>
      <c r="BS52">
        <v>10</v>
      </c>
      <c r="BT52" t="s">
        <v>910</v>
      </c>
      <c r="BU52" t="s">
        <v>910</v>
      </c>
      <c r="BV52" s="3" t="s">
        <v>910</v>
      </c>
      <c r="BW52" t="s">
        <v>910</v>
      </c>
      <c r="BX52" t="s">
        <v>1143</v>
      </c>
      <c r="BY52" t="s">
        <v>736</v>
      </c>
      <c r="BZ52" t="s">
        <v>736</v>
      </c>
      <c r="CA52" t="s">
        <v>910</v>
      </c>
      <c r="CB52" t="s">
        <v>1193</v>
      </c>
      <c r="CC52" t="s">
        <v>1193</v>
      </c>
      <c r="CD52" t="s">
        <v>1211</v>
      </c>
      <c r="CE52" t="s">
        <v>1211</v>
      </c>
      <c r="CF52" t="s">
        <v>1211</v>
      </c>
      <c r="CG52" t="s">
        <v>1518</v>
      </c>
      <c r="CH52" t="s">
        <v>1170</v>
      </c>
      <c r="DC52" s="4"/>
      <c r="DG52" s="33"/>
    </row>
    <row r="53" spans="1:111">
      <c r="A53" t="s">
        <v>183</v>
      </c>
      <c r="B53" t="s">
        <v>1349</v>
      </c>
      <c r="C53">
        <v>2020</v>
      </c>
      <c r="D53" s="3" t="s">
        <v>1366</v>
      </c>
      <c r="E53" t="s">
        <v>185</v>
      </c>
      <c r="F53">
        <v>31</v>
      </c>
      <c r="G53">
        <v>54</v>
      </c>
      <c r="H53">
        <v>77</v>
      </c>
      <c r="I53">
        <v>66.2</v>
      </c>
      <c r="J53">
        <v>5.62</v>
      </c>
      <c r="K53" t="s">
        <v>638</v>
      </c>
      <c r="L53" t="s">
        <v>638</v>
      </c>
      <c r="M53" t="s">
        <v>273</v>
      </c>
      <c r="N53" t="s">
        <v>273</v>
      </c>
      <c r="O53" t="s">
        <v>273</v>
      </c>
      <c r="P53" t="s">
        <v>273</v>
      </c>
      <c r="Q53" t="s">
        <v>273</v>
      </c>
      <c r="R53" t="s">
        <v>273</v>
      </c>
      <c r="S53" t="s">
        <v>273</v>
      </c>
      <c r="T53" t="s">
        <v>273</v>
      </c>
      <c r="U53" t="s">
        <v>273</v>
      </c>
      <c r="V53" t="s">
        <v>273</v>
      </c>
      <c r="W53" t="s">
        <v>273</v>
      </c>
      <c r="X53" t="s">
        <v>273</v>
      </c>
      <c r="Y53" t="s">
        <v>290</v>
      </c>
      <c r="Z53">
        <v>13</v>
      </c>
      <c r="AA53">
        <v>64.400000000000006</v>
      </c>
      <c r="AB53">
        <v>8.65</v>
      </c>
      <c r="AC53" t="s">
        <v>527</v>
      </c>
      <c r="AD53" t="s">
        <v>1248</v>
      </c>
      <c r="AE53" t="s">
        <v>1285</v>
      </c>
      <c r="AF53" t="s">
        <v>272</v>
      </c>
      <c r="AG53" t="s">
        <v>1427</v>
      </c>
      <c r="AH53" t="s">
        <v>1432</v>
      </c>
      <c r="AI53" t="s">
        <v>910</v>
      </c>
      <c r="AJ53">
        <v>1800</v>
      </c>
      <c r="AK53">
        <v>35</v>
      </c>
      <c r="AL53">
        <v>202</v>
      </c>
      <c r="AM53" s="3">
        <f t="shared" ref="AM53" si="18">AJ53*AL53/60000</f>
        <v>6.06</v>
      </c>
      <c r="AN53" t="s">
        <v>639</v>
      </c>
      <c r="AO53">
        <v>3</v>
      </c>
      <c r="AP53" t="s">
        <v>273</v>
      </c>
      <c r="AQ53" t="s">
        <v>269</v>
      </c>
      <c r="AR53" t="s">
        <v>269</v>
      </c>
      <c r="AS53" t="s">
        <v>1444</v>
      </c>
      <c r="AT53" t="s">
        <v>269</v>
      </c>
      <c r="AU53" t="s">
        <v>269</v>
      </c>
      <c r="AV53" t="s">
        <v>269</v>
      </c>
      <c r="AW53">
        <v>3</v>
      </c>
      <c r="AX53" t="s">
        <v>273</v>
      </c>
      <c r="AY53" t="s">
        <v>273</v>
      </c>
      <c r="AZ53" t="s">
        <v>273</v>
      </c>
      <c r="BA53" t="s">
        <v>273</v>
      </c>
      <c r="BB53" t="s">
        <v>273</v>
      </c>
      <c r="BC53" t="s">
        <v>1454</v>
      </c>
      <c r="BD53" t="s">
        <v>273</v>
      </c>
      <c r="BE53" t="s">
        <v>273</v>
      </c>
      <c r="BF53" t="s">
        <v>273</v>
      </c>
      <c r="BG53" t="s">
        <v>273</v>
      </c>
      <c r="BH53" t="s">
        <v>273</v>
      </c>
      <c r="BI53" t="s">
        <v>273</v>
      </c>
      <c r="BJ53" t="s">
        <v>273</v>
      </c>
      <c r="BK53" t="s">
        <v>273</v>
      </c>
      <c r="BL53" t="s">
        <v>1073</v>
      </c>
      <c r="BM53">
        <v>7</v>
      </c>
      <c r="BN53">
        <v>196</v>
      </c>
      <c r="BO53" t="s">
        <v>1557</v>
      </c>
      <c r="BP53" s="3" t="s">
        <v>1122</v>
      </c>
      <c r="BQ53" s="3" t="s">
        <v>243</v>
      </c>
      <c r="BR53">
        <v>48.6</v>
      </c>
      <c r="BS53">
        <v>10</v>
      </c>
      <c r="BT53" t="s">
        <v>910</v>
      </c>
      <c r="BU53" t="s">
        <v>910</v>
      </c>
      <c r="BV53" s="3" t="s">
        <v>910</v>
      </c>
      <c r="BW53" t="s">
        <v>910</v>
      </c>
      <c r="BX53" t="s">
        <v>1143</v>
      </c>
      <c r="BY53" t="s">
        <v>736</v>
      </c>
      <c r="BZ53" t="s">
        <v>736</v>
      </c>
      <c r="CA53" t="s">
        <v>910</v>
      </c>
      <c r="CB53" t="s">
        <v>1193</v>
      </c>
      <c r="CC53" t="s">
        <v>1193</v>
      </c>
      <c r="CD53" t="s">
        <v>1211</v>
      </c>
      <c r="CE53" t="s">
        <v>1211</v>
      </c>
      <c r="CF53" t="s">
        <v>1211</v>
      </c>
      <c r="CG53" t="s">
        <v>1518</v>
      </c>
      <c r="CH53" t="s">
        <v>1170</v>
      </c>
      <c r="DG53" s="33"/>
    </row>
    <row r="54" spans="1:111" s="3" customFormat="1">
      <c r="A54" s="3" t="s">
        <v>186</v>
      </c>
      <c r="B54" s="3" t="s">
        <v>1350</v>
      </c>
      <c r="C54" s="3">
        <v>2021</v>
      </c>
      <c r="D54" s="3" t="s">
        <v>1373</v>
      </c>
      <c r="E54" s="3" t="s">
        <v>189</v>
      </c>
      <c r="F54" s="3">
        <v>25</v>
      </c>
      <c r="G54" s="3" t="s">
        <v>273</v>
      </c>
      <c r="H54" s="3" t="s">
        <v>273</v>
      </c>
      <c r="I54" s="3">
        <v>65.319999999999993</v>
      </c>
      <c r="J54" s="3">
        <v>8.3849999999999998</v>
      </c>
      <c r="K54" s="3" t="s">
        <v>273</v>
      </c>
      <c r="L54" s="3" t="s">
        <v>273</v>
      </c>
      <c r="M54" s="3" t="s">
        <v>273</v>
      </c>
      <c r="N54" s="3" t="s">
        <v>273</v>
      </c>
      <c r="O54" s="3">
        <v>33.32</v>
      </c>
      <c r="P54" s="3">
        <v>15.247</v>
      </c>
      <c r="Q54" s="3" t="s">
        <v>273</v>
      </c>
      <c r="R54" s="3" t="s">
        <v>273</v>
      </c>
      <c r="S54" s="3">
        <v>2.6</v>
      </c>
      <c r="T54" s="3">
        <v>0.79100000000000004</v>
      </c>
      <c r="U54" s="3" t="s">
        <v>273</v>
      </c>
      <c r="V54" s="3" t="s">
        <v>273</v>
      </c>
      <c r="W54" s="3" t="s">
        <v>273</v>
      </c>
      <c r="X54" s="3" t="s">
        <v>273</v>
      </c>
      <c r="Y54" s="3" t="s">
        <v>289</v>
      </c>
      <c r="Z54" s="3">
        <v>25</v>
      </c>
      <c r="AA54" s="3">
        <v>63.88</v>
      </c>
      <c r="AB54" s="3">
        <v>8.2119999999999997</v>
      </c>
      <c r="AC54" s="3" t="s">
        <v>331</v>
      </c>
      <c r="AD54" s="3" t="s">
        <v>1274</v>
      </c>
      <c r="AE54" s="3" t="s">
        <v>1109</v>
      </c>
      <c r="AF54" s="3" t="s">
        <v>272</v>
      </c>
      <c r="AG54" s="3" t="s">
        <v>943</v>
      </c>
      <c r="AH54" s="3" t="s">
        <v>1432</v>
      </c>
      <c r="AI54" s="3" t="s">
        <v>910</v>
      </c>
      <c r="AJ54" s="3">
        <v>2000</v>
      </c>
      <c r="AK54" s="3">
        <v>30</v>
      </c>
      <c r="AL54" s="3">
        <v>185</v>
      </c>
      <c r="AM54" s="3">
        <f t="shared" si="16"/>
        <v>6.166666666666667</v>
      </c>
      <c r="AN54" s="3" t="s">
        <v>650</v>
      </c>
      <c r="AO54" s="3">
        <v>3</v>
      </c>
      <c r="AP54" s="3" t="s">
        <v>428</v>
      </c>
      <c r="AQ54" s="3" t="s">
        <v>1444</v>
      </c>
      <c r="AR54" s="3" t="s">
        <v>269</v>
      </c>
      <c r="AS54" s="3" t="s">
        <v>269</v>
      </c>
      <c r="AT54" s="3" t="s">
        <v>1444</v>
      </c>
      <c r="AU54" s="3" t="s">
        <v>269</v>
      </c>
      <c r="AV54" s="3" t="s">
        <v>269</v>
      </c>
      <c r="AW54" s="3">
        <v>3</v>
      </c>
      <c r="AX54" t="s">
        <v>273</v>
      </c>
      <c r="AY54" t="s">
        <v>273</v>
      </c>
      <c r="AZ54">
        <v>3</v>
      </c>
      <c r="BA54">
        <v>3</v>
      </c>
      <c r="BB54" t="s">
        <v>273</v>
      </c>
      <c r="BC54" t="s">
        <v>273</v>
      </c>
      <c r="BD54" t="s">
        <v>273</v>
      </c>
      <c r="BE54" s="3" t="s">
        <v>266</v>
      </c>
      <c r="BF54" s="3" t="s">
        <v>1464</v>
      </c>
      <c r="BG54" s="3">
        <v>0.01</v>
      </c>
      <c r="BH54" s="3">
        <v>0.1</v>
      </c>
      <c r="BI54" s="3" t="s">
        <v>273</v>
      </c>
      <c r="BJ54" s="3" t="s">
        <v>273</v>
      </c>
      <c r="BK54" s="3" t="s">
        <v>273</v>
      </c>
      <c r="BL54" t="s">
        <v>1072</v>
      </c>
      <c r="BM54">
        <v>15</v>
      </c>
      <c r="BN54" s="3">
        <v>30</v>
      </c>
      <c r="BO54" t="s">
        <v>1558</v>
      </c>
      <c r="BP54" s="3" t="s">
        <v>1123</v>
      </c>
      <c r="BQ54" t="s">
        <v>736</v>
      </c>
      <c r="BR54" s="3">
        <v>60</v>
      </c>
      <c r="BS54" s="3">
        <v>2</v>
      </c>
      <c r="BT54" t="s">
        <v>910</v>
      </c>
      <c r="BU54" s="3" t="s">
        <v>910</v>
      </c>
      <c r="BV54" s="3" t="s">
        <v>910</v>
      </c>
      <c r="BW54" s="3" t="s">
        <v>910</v>
      </c>
      <c r="BX54" t="s">
        <v>273</v>
      </c>
      <c r="BY54" s="3" t="s">
        <v>285</v>
      </c>
      <c r="BZ54" t="s">
        <v>736</v>
      </c>
      <c r="CA54" t="s">
        <v>910</v>
      </c>
      <c r="CB54" t="s">
        <v>1194</v>
      </c>
      <c r="CC54" t="s">
        <v>1194</v>
      </c>
      <c r="CD54" t="s">
        <v>1222</v>
      </c>
      <c r="CE54" t="s">
        <v>1211</v>
      </c>
      <c r="CF54" t="s">
        <v>1211</v>
      </c>
      <c r="CG54" t="s">
        <v>1262</v>
      </c>
      <c r="CH54" t="s">
        <v>1171</v>
      </c>
      <c r="CI54" s="21"/>
      <c r="CJ54"/>
      <c r="CK54"/>
      <c r="CP54"/>
      <c r="CQ54"/>
      <c r="CS54"/>
      <c r="CT54"/>
      <c r="CU54"/>
      <c r="CV54"/>
      <c r="CW54"/>
      <c r="CX54"/>
      <c r="CY54"/>
      <c r="CZ54"/>
      <c r="DA54"/>
      <c r="DB54"/>
      <c r="DD54"/>
      <c r="DG54" s="33"/>
    </row>
    <row r="55" spans="1:111" s="3" customFormat="1">
      <c r="A55" s="3" t="s">
        <v>186</v>
      </c>
      <c r="B55" s="3" t="s">
        <v>1350</v>
      </c>
      <c r="C55" s="3">
        <v>2021</v>
      </c>
      <c r="D55" t="s">
        <v>1373</v>
      </c>
      <c r="E55" s="3" t="s">
        <v>189</v>
      </c>
      <c r="F55" s="3">
        <v>25</v>
      </c>
      <c r="G55" s="3" t="s">
        <v>273</v>
      </c>
      <c r="H55" s="3" t="s">
        <v>273</v>
      </c>
      <c r="I55" s="3">
        <v>65.239999999999995</v>
      </c>
      <c r="J55" s="3">
        <v>6.7960000000000003</v>
      </c>
      <c r="K55" s="3" t="s">
        <v>273</v>
      </c>
      <c r="L55" s="3" t="s">
        <v>273</v>
      </c>
      <c r="M55" s="3" t="s">
        <v>273</v>
      </c>
      <c r="N55" s="3" t="s">
        <v>273</v>
      </c>
      <c r="O55" s="3">
        <v>32.96</v>
      </c>
      <c r="P55" s="3">
        <v>10.964</v>
      </c>
      <c r="Q55" s="3" t="s">
        <v>273</v>
      </c>
      <c r="R55" s="3" t="s">
        <v>273</v>
      </c>
      <c r="S55" s="3">
        <v>2.46</v>
      </c>
      <c r="T55" s="3">
        <v>0.72099999999999997</v>
      </c>
      <c r="U55" s="3" t="s">
        <v>273</v>
      </c>
      <c r="V55" s="3" t="s">
        <v>273</v>
      </c>
      <c r="W55" s="3" t="s">
        <v>273</v>
      </c>
      <c r="X55" s="3" t="s">
        <v>273</v>
      </c>
      <c r="Y55" s="3" t="s">
        <v>289</v>
      </c>
      <c r="Z55" s="3">
        <v>25</v>
      </c>
      <c r="AA55" s="3">
        <v>63.88</v>
      </c>
      <c r="AB55" s="3">
        <v>8.2119999999999997</v>
      </c>
      <c r="AC55" s="3" t="s">
        <v>331</v>
      </c>
      <c r="AD55" s="3" t="s">
        <v>1274</v>
      </c>
      <c r="AE55" s="3" t="s">
        <v>1109</v>
      </c>
      <c r="AF55" s="3" t="s">
        <v>272</v>
      </c>
      <c r="AG55" s="3" t="s">
        <v>943</v>
      </c>
      <c r="AH55" s="3" t="s">
        <v>1432</v>
      </c>
      <c r="AI55" s="3" t="s">
        <v>910</v>
      </c>
      <c r="AJ55" s="3">
        <v>2000</v>
      </c>
      <c r="AK55" s="3">
        <v>30</v>
      </c>
      <c r="AL55" s="3">
        <v>185</v>
      </c>
      <c r="AM55" s="3">
        <f t="shared" ref="AM55" si="19">AJ55*AL55/60000</f>
        <v>6.166666666666667</v>
      </c>
      <c r="AN55" s="3" t="s">
        <v>650</v>
      </c>
      <c r="AO55" s="3">
        <v>3</v>
      </c>
      <c r="AP55" s="3" t="s">
        <v>428</v>
      </c>
      <c r="AQ55" s="3" t="s">
        <v>1444</v>
      </c>
      <c r="AR55" s="3" t="s">
        <v>269</v>
      </c>
      <c r="AS55" s="3" t="s">
        <v>269</v>
      </c>
      <c r="AT55" s="3" t="s">
        <v>1444</v>
      </c>
      <c r="AU55" s="3" t="s">
        <v>269</v>
      </c>
      <c r="AV55" s="3" t="s">
        <v>269</v>
      </c>
      <c r="AW55" s="3">
        <v>3</v>
      </c>
      <c r="AX55" t="s">
        <v>273</v>
      </c>
      <c r="AY55" t="s">
        <v>273</v>
      </c>
      <c r="AZ55">
        <v>3</v>
      </c>
      <c r="BA55">
        <v>3</v>
      </c>
      <c r="BB55" t="s">
        <v>273</v>
      </c>
      <c r="BC55" t="s">
        <v>273</v>
      </c>
      <c r="BD55" t="s">
        <v>273</v>
      </c>
      <c r="BE55" s="3" t="s">
        <v>266</v>
      </c>
      <c r="BF55" s="3" t="s">
        <v>1464</v>
      </c>
      <c r="BG55" s="3">
        <v>0.01</v>
      </c>
      <c r="BH55" s="3">
        <v>0.1</v>
      </c>
      <c r="BI55" s="3" t="s">
        <v>273</v>
      </c>
      <c r="BJ55" s="3" t="s">
        <v>273</v>
      </c>
      <c r="BK55" s="3" t="s">
        <v>273</v>
      </c>
      <c r="BL55" t="s">
        <v>1072</v>
      </c>
      <c r="BM55">
        <v>15</v>
      </c>
      <c r="BN55" s="3">
        <v>30</v>
      </c>
      <c r="BO55" t="s">
        <v>1558</v>
      </c>
      <c r="BP55" s="3" t="s">
        <v>1123</v>
      </c>
      <c r="BQ55" t="s">
        <v>736</v>
      </c>
      <c r="BR55" s="3">
        <v>60</v>
      </c>
      <c r="BS55" s="3">
        <v>2</v>
      </c>
      <c r="BT55" t="s">
        <v>910</v>
      </c>
      <c r="BU55" s="3" t="s">
        <v>910</v>
      </c>
      <c r="BV55" s="3" t="s">
        <v>910</v>
      </c>
      <c r="BW55" s="3" t="s">
        <v>910</v>
      </c>
      <c r="BX55" t="s">
        <v>273</v>
      </c>
      <c r="BY55" s="3" t="s">
        <v>285</v>
      </c>
      <c r="BZ55" t="s">
        <v>736</v>
      </c>
      <c r="CA55" t="s">
        <v>910</v>
      </c>
      <c r="CB55" t="s">
        <v>1194</v>
      </c>
      <c r="CC55" t="s">
        <v>1194</v>
      </c>
      <c r="CD55" t="s">
        <v>1222</v>
      </c>
      <c r="CE55" t="s">
        <v>1211</v>
      </c>
      <c r="CF55" t="s">
        <v>1211</v>
      </c>
      <c r="CG55" t="s">
        <v>1262</v>
      </c>
      <c r="CH55" t="s">
        <v>1171</v>
      </c>
      <c r="CI55" s="21"/>
      <c r="CJ55"/>
      <c r="CK55"/>
      <c r="CL55"/>
      <c r="CM55"/>
      <c r="CN55"/>
      <c r="CO55"/>
      <c r="CP55"/>
      <c r="CQ55"/>
      <c r="CR55"/>
      <c r="CS55"/>
      <c r="CT55"/>
      <c r="CU55"/>
      <c r="CV55"/>
      <c r="CW55"/>
      <c r="CX55"/>
      <c r="CY55"/>
      <c r="CZ55"/>
      <c r="DA55"/>
      <c r="DB55"/>
      <c r="DC55"/>
      <c r="DD55"/>
      <c r="DF55"/>
      <c r="DG55" s="33"/>
    </row>
    <row r="56" spans="1:111">
      <c r="A56" t="s">
        <v>190</v>
      </c>
      <c r="B56" t="s">
        <v>1351</v>
      </c>
      <c r="C56">
        <v>2025</v>
      </c>
      <c r="D56" s="3" t="s">
        <v>1374</v>
      </c>
      <c r="E56" t="s">
        <v>193</v>
      </c>
      <c r="F56">
        <v>27</v>
      </c>
      <c r="G56" t="s">
        <v>273</v>
      </c>
      <c r="H56" t="s">
        <v>273</v>
      </c>
      <c r="I56">
        <v>70</v>
      </c>
      <c r="J56">
        <v>6</v>
      </c>
      <c r="K56">
        <v>23.78</v>
      </c>
      <c r="L56">
        <v>11.58</v>
      </c>
      <c r="M56" t="s">
        <v>273</v>
      </c>
      <c r="N56" t="s">
        <v>273</v>
      </c>
      <c r="O56">
        <v>36.369999999999997</v>
      </c>
      <c r="P56">
        <v>12.47</v>
      </c>
      <c r="Q56" t="s">
        <v>273</v>
      </c>
      <c r="R56" t="s">
        <v>273</v>
      </c>
      <c r="S56" t="s">
        <v>273</v>
      </c>
      <c r="T56" t="s">
        <v>273</v>
      </c>
      <c r="U56" t="s">
        <v>273</v>
      </c>
      <c r="V56" t="s">
        <v>273</v>
      </c>
      <c r="W56" t="s">
        <v>273</v>
      </c>
      <c r="X56" t="s">
        <v>273</v>
      </c>
      <c r="Y56" t="s">
        <v>302</v>
      </c>
      <c r="Z56">
        <v>37</v>
      </c>
      <c r="AA56">
        <v>71</v>
      </c>
      <c r="AB56">
        <v>5</v>
      </c>
      <c r="AC56" t="s">
        <v>527</v>
      </c>
      <c r="AD56" t="s">
        <v>1271</v>
      </c>
      <c r="AE56" t="s">
        <v>1272</v>
      </c>
      <c r="AF56" t="s">
        <v>272</v>
      </c>
      <c r="AG56" t="s">
        <v>1428</v>
      </c>
      <c r="AH56" t="s">
        <v>1433</v>
      </c>
      <c r="AI56" t="s">
        <v>662</v>
      </c>
      <c r="AJ56">
        <v>490</v>
      </c>
      <c r="AK56">
        <v>30</v>
      </c>
      <c r="AL56">
        <v>790</v>
      </c>
      <c r="AM56">
        <f t="shared" si="16"/>
        <v>6.4516666666666671</v>
      </c>
      <c r="AN56" t="s">
        <v>663</v>
      </c>
      <c r="AO56">
        <v>3</v>
      </c>
      <c r="AP56" t="s">
        <v>271</v>
      </c>
      <c r="AQ56" t="s">
        <v>269</v>
      </c>
      <c r="AR56" t="s">
        <v>269</v>
      </c>
      <c r="AS56" t="s">
        <v>269</v>
      </c>
      <c r="AT56" t="s">
        <v>1444</v>
      </c>
      <c r="AU56" t="s">
        <v>269</v>
      </c>
      <c r="AV56" t="s">
        <v>269</v>
      </c>
      <c r="AW56">
        <v>3</v>
      </c>
      <c r="AX56" t="s">
        <v>273</v>
      </c>
      <c r="AY56" t="s">
        <v>273</v>
      </c>
      <c r="AZ56">
        <v>3</v>
      </c>
      <c r="BA56" t="s">
        <v>273</v>
      </c>
      <c r="BB56" t="s">
        <v>273</v>
      </c>
      <c r="BC56" t="s">
        <v>273</v>
      </c>
      <c r="BD56" t="s">
        <v>273</v>
      </c>
      <c r="BE56" t="s">
        <v>664</v>
      </c>
      <c r="BF56" t="s">
        <v>1466</v>
      </c>
      <c r="BG56">
        <v>8.0000000000000002E-3</v>
      </c>
      <c r="BH56" t="s">
        <v>273</v>
      </c>
      <c r="BI56" t="s">
        <v>273</v>
      </c>
      <c r="BJ56" t="s">
        <v>273</v>
      </c>
      <c r="BK56" t="s">
        <v>273</v>
      </c>
      <c r="BL56" t="s">
        <v>1072</v>
      </c>
      <c r="BM56">
        <v>11</v>
      </c>
      <c r="BN56">
        <v>15</v>
      </c>
      <c r="BO56" t="s">
        <v>1559</v>
      </c>
      <c r="BP56" s="3" t="s">
        <v>1122</v>
      </c>
      <c r="BQ56" t="s">
        <v>1126</v>
      </c>
      <c r="BR56" t="s">
        <v>910</v>
      </c>
      <c r="BS56" t="s">
        <v>910</v>
      </c>
      <c r="BT56" t="s">
        <v>1126</v>
      </c>
      <c r="BU56">
        <v>5</v>
      </c>
      <c r="BV56" t="s">
        <v>1126</v>
      </c>
      <c r="BW56" t="s">
        <v>1473</v>
      </c>
      <c r="BX56" t="s">
        <v>273</v>
      </c>
      <c r="BY56" t="s">
        <v>661</v>
      </c>
      <c r="BZ56" t="s">
        <v>661</v>
      </c>
      <c r="CA56" t="s">
        <v>1179</v>
      </c>
      <c r="CB56" t="s">
        <v>1534</v>
      </c>
      <c r="CC56" t="s">
        <v>1534</v>
      </c>
      <c r="CD56" t="s">
        <v>1211</v>
      </c>
      <c r="CE56" t="s">
        <v>1208</v>
      </c>
      <c r="CF56" t="s">
        <v>1222</v>
      </c>
      <c r="CG56" t="s">
        <v>1519</v>
      </c>
      <c r="CH56" t="s">
        <v>1172</v>
      </c>
      <c r="DG56" s="33"/>
    </row>
    <row r="57" spans="1:111" s="3" customFormat="1">
      <c r="A57" s="3" t="s">
        <v>200</v>
      </c>
      <c r="B57" s="3" t="s">
        <v>1352</v>
      </c>
      <c r="C57" s="3">
        <v>2015</v>
      </c>
      <c r="D57" t="s">
        <v>1375</v>
      </c>
      <c r="E57" s="3" t="s">
        <v>203</v>
      </c>
      <c r="F57" s="3">
        <v>25</v>
      </c>
      <c r="G57" s="3" t="s">
        <v>273</v>
      </c>
      <c r="H57" s="3" t="s">
        <v>273</v>
      </c>
      <c r="I57" s="3">
        <v>66.040000000000006</v>
      </c>
      <c r="J57" s="3">
        <v>10.050000000000001</v>
      </c>
      <c r="K57" s="3">
        <v>23.56</v>
      </c>
      <c r="L57" s="3">
        <v>8.7100000000000009</v>
      </c>
      <c r="M57" s="3" t="s">
        <v>273</v>
      </c>
      <c r="N57" s="3" t="s">
        <v>273</v>
      </c>
      <c r="O57" s="3" t="s">
        <v>273</v>
      </c>
      <c r="P57" s="3" t="s">
        <v>273</v>
      </c>
      <c r="Q57" s="3" t="s">
        <v>273</v>
      </c>
      <c r="R57" s="3" t="s">
        <v>273</v>
      </c>
      <c r="S57" s="3">
        <v>2.04</v>
      </c>
      <c r="T57" s="3" t="s">
        <v>273</v>
      </c>
      <c r="U57" s="3" t="s">
        <v>273</v>
      </c>
      <c r="V57" s="3" t="s">
        <v>273</v>
      </c>
      <c r="W57" s="3">
        <v>1</v>
      </c>
      <c r="X57" s="3">
        <v>2.5</v>
      </c>
      <c r="Y57" s="3" t="s">
        <v>290</v>
      </c>
      <c r="Z57" s="3">
        <v>21</v>
      </c>
      <c r="AA57" s="3">
        <v>61.9</v>
      </c>
      <c r="AB57" s="3">
        <v>10</v>
      </c>
      <c r="AC57" s="3" t="s">
        <v>331</v>
      </c>
      <c r="AD57" s="3" t="s">
        <v>1271</v>
      </c>
      <c r="AE57" s="3" t="s">
        <v>1272</v>
      </c>
      <c r="AF57" s="3" t="s">
        <v>272</v>
      </c>
      <c r="AG57" t="s">
        <v>946</v>
      </c>
      <c r="AH57" s="3" t="s">
        <v>1434</v>
      </c>
      <c r="AI57" s="3" t="s">
        <v>1435</v>
      </c>
      <c r="AJ57" s="3">
        <v>2400</v>
      </c>
      <c r="AK57" s="3">
        <v>25</v>
      </c>
      <c r="AL57" s="3">
        <v>300</v>
      </c>
      <c r="AM57" s="3">
        <f t="shared" si="16"/>
        <v>12</v>
      </c>
      <c r="AN57" s="3" t="s">
        <v>263</v>
      </c>
      <c r="AO57" s="3">
        <v>3</v>
      </c>
      <c r="AP57" s="3" t="s">
        <v>271</v>
      </c>
      <c r="AQ57" s="3" t="s">
        <v>1444</v>
      </c>
      <c r="AR57" s="3" t="s">
        <v>269</v>
      </c>
      <c r="AS57" s="3" t="s">
        <v>269</v>
      </c>
      <c r="AT57" s="3" t="s">
        <v>269</v>
      </c>
      <c r="AU57" s="3" t="s">
        <v>269</v>
      </c>
      <c r="AV57" s="3" t="s">
        <v>269</v>
      </c>
      <c r="AW57" s="3">
        <v>3</v>
      </c>
      <c r="AX57" s="3" t="s">
        <v>273</v>
      </c>
      <c r="AY57" s="3" t="s">
        <v>273</v>
      </c>
      <c r="AZ57" s="3" t="s">
        <v>273</v>
      </c>
      <c r="BA57" s="3" t="s">
        <v>273</v>
      </c>
      <c r="BB57" s="3" t="s">
        <v>273</v>
      </c>
      <c r="BC57" s="3" t="s">
        <v>273</v>
      </c>
      <c r="BD57" t="s">
        <v>273</v>
      </c>
      <c r="BE57" s="3" t="s">
        <v>1535</v>
      </c>
      <c r="BF57" s="3" t="s">
        <v>1466</v>
      </c>
      <c r="BG57" s="3" t="s">
        <v>273</v>
      </c>
      <c r="BH57" s="3" t="s">
        <v>273</v>
      </c>
      <c r="BI57" s="3" t="s">
        <v>273</v>
      </c>
      <c r="BJ57" s="3" t="s">
        <v>273</v>
      </c>
      <c r="BK57" s="3" t="s">
        <v>273</v>
      </c>
      <c r="BL57" t="s">
        <v>1073</v>
      </c>
      <c r="BM57">
        <v>3</v>
      </c>
      <c r="BN57" s="3">
        <v>20</v>
      </c>
      <c r="BO57" t="s">
        <v>1560</v>
      </c>
      <c r="BP57" s="3" t="s">
        <v>1116</v>
      </c>
      <c r="BQ57" s="3" t="s">
        <v>243</v>
      </c>
      <c r="BR57" s="3">
        <v>40.799999999999997</v>
      </c>
      <c r="BS57" s="3">
        <v>2.4</v>
      </c>
      <c r="BT57" s="3" t="s">
        <v>1132</v>
      </c>
      <c r="BU57" s="3">
        <v>4</v>
      </c>
      <c r="BV57" s="3" t="s">
        <v>1139</v>
      </c>
      <c r="BW57" s="3" t="s">
        <v>910</v>
      </c>
      <c r="BX57" t="s">
        <v>273</v>
      </c>
      <c r="BY57" t="s">
        <v>736</v>
      </c>
      <c r="BZ57" t="s">
        <v>736</v>
      </c>
      <c r="CA57" t="s">
        <v>1503</v>
      </c>
      <c r="CB57" t="s">
        <v>1195</v>
      </c>
      <c r="CC57" t="s">
        <v>1195</v>
      </c>
      <c r="CD57" t="s">
        <v>1211</v>
      </c>
      <c r="CE57" t="s">
        <v>1211</v>
      </c>
      <c r="CF57" t="s">
        <v>1211</v>
      </c>
      <c r="CG57" t="s">
        <v>1263</v>
      </c>
      <c r="CH57" t="s">
        <v>273</v>
      </c>
      <c r="CI57" s="21"/>
      <c r="CK57"/>
      <c r="CL57"/>
      <c r="CM57"/>
      <c r="CN57"/>
      <c r="CO57"/>
      <c r="CP57"/>
      <c r="CQ57"/>
      <c r="CR57"/>
      <c r="CS57"/>
      <c r="CT57"/>
      <c r="CU57"/>
      <c r="CV57"/>
      <c r="CY57"/>
      <c r="CZ57"/>
      <c r="DA57"/>
      <c r="DC57"/>
      <c r="DD57"/>
      <c r="DG57" s="33"/>
    </row>
    <row r="58" spans="1:111">
      <c r="A58" t="s">
        <v>204</v>
      </c>
      <c r="B58" t="s">
        <v>1353</v>
      </c>
      <c r="C58">
        <v>2018</v>
      </c>
      <c r="D58" s="3" t="s">
        <v>1376</v>
      </c>
      <c r="E58" t="s">
        <v>207</v>
      </c>
      <c r="F58">
        <v>18</v>
      </c>
      <c r="G58" t="s">
        <v>273</v>
      </c>
      <c r="H58" t="s">
        <v>273</v>
      </c>
      <c r="I58">
        <v>57.11</v>
      </c>
      <c r="J58">
        <v>11.63</v>
      </c>
      <c r="K58" t="s">
        <v>273</v>
      </c>
      <c r="L58" t="s">
        <v>273</v>
      </c>
      <c r="M58" t="s">
        <v>273</v>
      </c>
      <c r="N58" t="s">
        <v>273</v>
      </c>
      <c r="O58" t="s">
        <v>273</v>
      </c>
      <c r="P58" t="s">
        <v>273</v>
      </c>
      <c r="Q58" t="s">
        <v>273</v>
      </c>
      <c r="R58" t="s">
        <v>273</v>
      </c>
      <c r="S58" t="s">
        <v>273</v>
      </c>
      <c r="T58" t="s">
        <v>273</v>
      </c>
      <c r="U58" t="s">
        <v>273</v>
      </c>
      <c r="V58" t="s">
        <v>273</v>
      </c>
      <c r="W58" t="s">
        <v>273</v>
      </c>
      <c r="X58" t="s">
        <v>273</v>
      </c>
      <c r="Y58" t="s">
        <v>289</v>
      </c>
      <c r="Z58">
        <v>18</v>
      </c>
      <c r="AA58">
        <v>64.25</v>
      </c>
      <c r="AB58">
        <v>9.7799999999999994</v>
      </c>
      <c r="AC58" t="s">
        <v>331</v>
      </c>
      <c r="AD58" t="s">
        <v>1271</v>
      </c>
      <c r="AE58" t="s">
        <v>1286</v>
      </c>
      <c r="AF58" t="s">
        <v>921</v>
      </c>
      <c r="AG58" t="s">
        <v>242</v>
      </c>
      <c r="AH58" t="s">
        <v>1432</v>
      </c>
      <c r="AI58" t="s">
        <v>910</v>
      </c>
      <c r="AJ58">
        <v>2400</v>
      </c>
      <c r="AK58">
        <v>25</v>
      </c>
      <c r="AL58">
        <v>210</v>
      </c>
      <c r="AM58">
        <f t="shared" si="16"/>
        <v>8.4</v>
      </c>
      <c r="AN58" t="s">
        <v>353</v>
      </c>
      <c r="AO58">
        <v>3</v>
      </c>
      <c r="AP58" t="s">
        <v>271</v>
      </c>
      <c r="AQ58" t="s">
        <v>269</v>
      </c>
      <c r="AR58" t="s">
        <v>269</v>
      </c>
      <c r="AS58" t="s">
        <v>269</v>
      </c>
      <c r="AT58" t="s">
        <v>269</v>
      </c>
      <c r="AU58" t="s">
        <v>269</v>
      </c>
      <c r="AV58" t="s">
        <v>269</v>
      </c>
      <c r="AW58">
        <v>3</v>
      </c>
      <c r="AX58" t="s">
        <v>273</v>
      </c>
      <c r="AY58" t="s">
        <v>273</v>
      </c>
      <c r="AZ58" t="s">
        <v>273</v>
      </c>
      <c r="BA58" t="s">
        <v>273</v>
      </c>
      <c r="BB58" t="s">
        <v>273</v>
      </c>
      <c r="BC58" t="s">
        <v>273</v>
      </c>
      <c r="BD58" t="s">
        <v>273</v>
      </c>
      <c r="BE58" t="s">
        <v>270</v>
      </c>
      <c r="BF58" t="s">
        <v>273</v>
      </c>
      <c r="BG58" t="s">
        <v>273</v>
      </c>
      <c r="BH58" t="s">
        <v>273</v>
      </c>
      <c r="BI58" t="s">
        <v>273</v>
      </c>
      <c r="BJ58" t="s">
        <v>273</v>
      </c>
      <c r="BK58" t="s">
        <v>273</v>
      </c>
      <c r="BL58" t="s">
        <v>1073</v>
      </c>
      <c r="BM58">
        <v>8</v>
      </c>
      <c r="BN58">
        <v>72</v>
      </c>
      <c r="BO58" t="s">
        <v>1561</v>
      </c>
      <c r="BP58" s="3" t="s">
        <v>687</v>
      </c>
      <c r="BQ58" s="3" t="s">
        <v>243</v>
      </c>
      <c r="BR58" t="s">
        <v>1129</v>
      </c>
      <c r="BS58" t="s">
        <v>910</v>
      </c>
      <c r="BT58" t="s">
        <v>1130</v>
      </c>
      <c r="BU58">
        <v>3</v>
      </c>
      <c r="BV58" t="s">
        <v>700</v>
      </c>
      <c r="BW58" t="s">
        <v>1473</v>
      </c>
      <c r="BX58" t="s">
        <v>273</v>
      </c>
      <c r="BY58" t="s">
        <v>346</v>
      </c>
      <c r="BZ58" t="s">
        <v>736</v>
      </c>
      <c r="CA58" t="s">
        <v>1504</v>
      </c>
      <c r="CB58" t="s">
        <v>1196</v>
      </c>
      <c r="CC58" t="s">
        <v>1197</v>
      </c>
      <c r="CD58" t="s">
        <v>1218</v>
      </c>
      <c r="CE58" t="s">
        <v>1209</v>
      </c>
      <c r="CF58" t="s">
        <v>1219</v>
      </c>
      <c r="CG58" t="s">
        <v>1264</v>
      </c>
      <c r="CH58" t="s">
        <v>273</v>
      </c>
      <c r="DB58" s="3"/>
      <c r="DC58" s="2"/>
      <c r="DG58" s="33"/>
    </row>
    <row r="59" spans="1:111" s="3" customFormat="1">
      <c r="A59" s="3" t="s">
        <v>208</v>
      </c>
      <c r="B59" s="3" t="s">
        <v>1354</v>
      </c>
      <c r="C59" s="3">
        <v>2018</v>
      </c>
      <c r="D59" t="s">
        <v>1377</v>
      </c>
      <c r="E59" s="3" t="s">
        <v>210</v>
      </c>
      <c r="F59" s="3">
        <v>20</v>
      </c>
      <c r="G59" s="3" t="s">
        <v>273</v>
      </c>
      <c r="H59" s="3" t="s">
        <v>273</v>
      </c>
      <c r="I59" s="3">
        <v>58.03</v>
      </c>
      <c r="J59" s="3">
        <v>11.54</v>
      </c>
      <c r="K59" s="3" t="s">
        <v>273</v>
      </c>
      <c r="L59" s="3" t="s">
        <v>273</v>
      </c>
      <c r="M59" s="3" t="s">
        <v>273</v>
      </c>
      <c r="N59" s="3" t="s">
        <v>273</v>
      </c>
      <c r="O59" s="3">
        <v>15.05</v>
      </c>
      <c r="P59" s="3">
        <v>7.43</v>
      </c>
      <c r="Q59" s="3" t="s">
        <v>273</v>
      </c>
      <c r="R59" s="3" t="s">
        <v>273</v>
      </c>
      <c r="S59" s="3" t="s">
        <v>273</v>
      </c>
      <c r="T59" s="3" t="s">
        <v>273</v>
      </c>
      <c r="U59" s="3" t="s">
        <v>273</v>
      </c>
      <c r="V59" s="3" t="s">
        <v>273</v>
      </c>
      <c r="W59" s="3" t="s">
        <v>273</v>
      </c>
      <c r="X59" s="3" t="s">
        <v>273</v>
      </c>
      <c r="Y59" s="3" t="s">
        <v>289</v>
      </c>
      <c r="Z59" s="3">
        <v>18</v>
      </c>
      <c r="AA59" s="3">
        <v>64.25</v>
      </c>
      <c r="AB59" s="3">
        <v>9.5</v>
      </c>
      <c r="AC59" s="3" t="s">
        <v>331</v>
      </c>
      <c r="AD59" s="3" t="s">
        <v>1271</v>
      </c>
      <c r="AE59" s="3" t="s">
        <v>1286</v>
      </c>
      <c r="AF59" t="s">
        <v>921</v>
      </c>
      <c r="AG59" t="s">
        <v>242</v>
      </c>
      <c r="AH59" s="3" t="s">
        <v>1432</v>
      </c>
      <c r="AI59" s="3" t="s">
        <v>910</v>
      </c>
      <c r="AJ59" s="3">
        <v>2400</v>
      </c>
      <c r="AK59" s="3">
        <v>25</v>
      </c>
      <c r="AL59" s="3">
        <v>210</v>
      </c>
      <c r="AM59" s="3">
        <f t="shared" si="16"/>
        <v>8.4</v>
      </c>
      <c r="AN59" s="3" t="s">
        <v>707</v>
      </c>
      <c r="AO59" s="3">
        <v>3</v>
      </c>
      <c r="AP59" s="3" t="s">
        <v>271</v>
      </c>
      <c r="AQ59" s="3" t="s">
        <v>1444</v>
      </c>
      <c r="AR59" s="3" t="s">
        <v>269</v>
      </c>
      <c r="AS59" s="3" t="s">
        <v>269</v>
      </c>
      <c r="AT59" s="3" t="s">
        <v>269</v>
      </c>
      <c r="AU59" s="3" t="s">
        <v>269</v>
      </c>
      <c r="AV59" s="3" t="s">
        <v>269</v>
      </c>
      <c r="AW59" s="3">
        <v>3</v>
      </c>
      <c r="AX59" t="s">
        <v>273</v>
      </c>
      <c r="AY59" t="s">
        <v>273</v>
      </c>
      <c r="AZ59" t="s">
        <v>273</v>
      </c>
      <c r="BA59" t="s">
        <v>273</v>
      </c>
      <c r="BB59" t="s">
        <v>273</v>
      </c>
      <c r="BC59" t="s">
        <v>273</v>
      </c>
      <c r="BD59" t="s">
        <v>273</v>
      </c>
      <c r="BE59" s="3" t="s">
        <v>270</v>
      </c>
      <c r="BF59" s="3" t="s">
        <v>1464</v>
      </c>
      <c r="BG59" s="3">
        <v>8.0000000000000002E-3</v>
      </c>
      <c r="BH59" s="3">
        <v>0.1</v>
      </c>
      <c r="BI59" s="3" t="s">
        <v>273</v>
      </c>
      <c r="BJ59" s="3" t="s">
        <v>273</v>
      </c>
      <c r="BK59" s="3" t="s">
        <v>273</v>
      </c>
      <c r="BL59" t="s">
        <v>1073</v>
      </c>
      <c r="BM59">
        <v>7</v>
      </c>
      <c r="BN59" s="3">
        <v>20</v>
      </c>
      <c r="BO59" t="s">
        <v>1562</v>
      </c>
      <c r="BP59" s="3" t="s">
        <v>687</v>
      </c>
      <c r="BQ59" s="3" t="s">
        <v>1127</v>
      </c>
      <c r="BR59" t="s">
        <v>910</v>
      </c>
      <c r="BS59" t="s">
        <v>910</v>
      </c>
      <c r="BT59" s="3" t="s">
        <v>1130</v>
      </c>
      <c r="BU59" s="3">
        <v>2</v>
      </c>
      <c r="BV59" s="3" t="s">
        <v>1127</v>
      </c>
      <c r="BW59" s="3" t="s">
        <v>1478</v>
      </c>
      <c r="BX59" t="s">
        <v>273</v>
      </c>
      <c r="BY59" t="s">
        <v>346</v>
      </c>
      <c r="BZ59" t="s">
        <v>736</v>
      </c>
      <c r="CA59" t="s">
        <v>1505</v>
      </c>
      <c r="CB59" t="s">
        <v>1211</v>
      </c>
      <c r="CC59" t="s">
        <v>1211</v>
      </c>
      <c r="CD59" t="s">
        <v>1211</v>
      </c>
      <c r="CE59" t="s">
        <v>1210</v>
      </c>
      <c r="CF59" t="s">
        <v>1219</v>
      </c>
      <c r="CG59" t="s">
        <v>1265</v>
      </c>
      <c r="CH59" t="s">
        <v>1173</v>
      </c>
      <c r="CI59" s="21"/>
      <c r="CJ59"/>
      <c r="CK59"/>
      <c r="CM59"/>
      <c r="CN59"/>
      <c r="CO59"/>
      <c r="CP59"/>
      <c r="CQ59"/>
      <c r="CS59"/>
      <c r="CT59"/>
      <c r="CU59"/>
      <c r="CV59"/>
      <c r="CX59"/>
      <c r="CY59"/>
      <c r="CZ59"/>
      <c r="DA59"/>
      <c r="DB59"/>
      <c r="DC59" s="4"/>
      <c r="DD59"/>
      <c r="DE59"/>
      <c r="DG59" s="33"/>
    </row>
    <row r="60" spans="1:111">
      <c r="A60" t="s">
        <v>211</v>
      </c>
      <c r="B60" t="s">
        <v>1355</v>
      </c>
      <c r="C60">
        <v>2009</v>
      </c>
      <c r="D60" s="15" t="s">
        <v>213</v>
      </c>
      <c r="E60" t="s">
        <v>214</v>
      </c>
      <c r="F60">
        <v>8</v>
      </c>
      <c r="G60" t="s">
        <v>273</v>
      </c>
      <c r="H60" t="s">
        <v>273</v>
      </c>
      <c r="I60">
        <v>64</v>
      </c>
      <c r="J60">
        <v>8</v>
      </c>
      <c r="K60" t="s">
        <v>273</v>
      </c>
      <c r="L60" t="s">
        <v>273</v>
      </c>
      <c r="M60" t="s">
        <v>273</v>
      </c>
      <c r="N60" t="s">
        <v>273</v>
      </c>
      <c r="O60">
        <v>28</v>
      </c>
      <c r="P60">
        <v>9</v>
      </c>
      <c r="Q60" t="s">
        <v>273</v>
      </c>
      <c r="R60" t="s">
        <v>273</v>
      </c>
      <c r="S60" t="s">
        <v>273</v>
      </c>
      <c r="T60" t="s">
        <v>273</v>
      </c>
      <c r="U60" t="s">
        <v>273</v>
      </c>
      <c r="V60" t="s">
        <v>273</v>
      </c>
      <c r="W60">
        <v>1</v>
      </c>
      <c r="X60">
        <v>3</v>
      </c>
      <c r="Y60" t="s">
        <v>302</v>
      </c>
      <c r="Z60">
        <v>10</v>
      </c>
      <c r="AA60">
        <v>58</v>
      </c>
      <c r="AB60">
        <v>11</v>
      </c>
      <c r="AC60" t="s">
        <v>527</v>
      </c>
      <c r="AD60" t="s">
        <v>1270</v>
      </c>
      <c r="AE60" t="s">
        <v>1283</v>
      </c>
      <c r="AF60" t="s">
        <v>272</v>
      </c>
      <c r="AG60" t="s">
        <v>1429</v>
      </c>
      <c r="AH60" t="s">
        <v>1433</v>
      </c>
      <c r="AI60" t="s">
        <v>1436</v>
      </c>
      <c r="AJ60">
        <v>2000</v>
      </c>
      <c r="AK60">
        <v>37</v>
      </c>
      <c r="AL60">
        <v>150</v>
      </c>
      <c r="AM60">
        <f t="shared" si="16"/>
        <v>5</v>
      </c>
      <c r="AN60" t="s">
        <v>736</v>
      </c>
      <c r="AO60">
        <v>3</v>
      </c>
      <c r="AP60" t="s">
        <v>273</v>
      </c>
      <c r="AQ60" t="s">
        <v>269</v>
      </c>
      <c r="AR60" t="s">
        <v>269</v>
      </c>
      <c r="AS60" t="s">
        <v>269</v>
      </c>
      <c r="AT60" t="s">
        <v>269</v>
      </c>
      <c r="AU60" t="s">
        <v>269</v>
      </c>
      <c r="AV60" t="s">
        <v>269</v>
      </c>
      <c r="AW60">
        <v>3</v>
      </c>
      <c r="AX60" t="s">
        <v>273</v>
      </c>
      <c r="AY60" t="s">
        <v>273</v>
      </c>
      <c r="AZ60" t="s">
        <v>273</v>
      </c>
      <c r="BA60" t="s">
        <v>273</v>
      </c>
      <c r="BB60" t="s">
        <v>273</v>
      </c>
      <c r="BC60" t="s">
        <v>273</v>
      </c>
      <c r="BD60" t="s">
        <v>273</v>
      </c>
      <c r="BE60" t="s">
        <v>273</v>
      </c>
      <c r="BF60" t="s">
        <v>273</v>
      </c>
      <c r="BG60" t="s">
        <v>273</v>
      </c>
      <c r="BH60" t="s">
        <v>273</v>
      </c>
      <c r="BI60" t="s">
        <v>273</v>
      </c>
      <c r="BJ60" t="s">
        <v>273</v>
      </c>
      <c r="BK60" t="s">
        <v>273</v>
      </c>
      <c r="BL60" t="s">
        <v>1072</v>
      </c>
      <c r="BM60">
        <v>18</v>
      </c>
      <c r="BN60">
        <v>9</v>
      </c>
      <c r="BO60" t="s">
        <v>1563</v>
      </c>
      <c r="BP60" t="s">
        <v>1124</v>
      </c>
      <c r="BQ60" t="s">
        <v>1128</v>
      </c>
      <c r="BR60" t="s">
        <v>910</v>
      </c>
      <c r="BS60" t="s">
        <v>910</v>
      </c>
      <c r="BT60" t="s">
        <v>1128</v>
      </c>
      <c r="BU60" t="s">
        <v>910</v>
      </c>
      <c r="BV60" s="3" t="s">
        <v>910</v>
      </c>
      <c r="BW60" t="s">
        <v>273</v>
      </c>
      <c r="BX60" t="s">
        <v>273</v>
      </c>
      <c r="BY60" t="s">
        <v>736</v>
      </c>
      <c r="BZ60" t="s">
        <v>736</v>
      </c>
      <c r="CA60" t="s">
        <v>1506</v>
      </c>
      <c r="CB60" t="s">
        <v>1536</v>
      </c>
      <c r="CC60" t="s">
        <v>1536</v>
      </c>
      <c r="CD60" t="s">
        <v>1211</v>
      </c>
      <c r="CE60" t="s">
        <v>1211</v>
      </c>
      <c r="CF60" t="s">
        <v>1211</v>
      </c>
      <c r="CG60" t="s">
        <v>1266</v>
      </c>
      <c r="CH60" t="s">
        <v>273</v>
      </c>
      <c r="DG60" s="33"/>
    </row>
    <row r="61" spans="1:111" s="15" customFormat="1">
      <c r="A61" s="15" t="s">
        <v>215</v>
      </c>
      <c r="B61" s="15" t="s">
        <v>1356</v>
      </c>
      <c r="C61" s="15">
        <v>2023</v>
      </c>
      <c r="D61" t="s">
        <v>1656</v>
      </c>
      <c r="E61" s="15" t="s">
        <v>218</v>
      </c>
      <c r="F61" s="15">
        <v>45</v>
      </c>
      <c r="G61" s="15" t="s">
        <v>273</v>
      </c>
      <c r="H61" s="15" t="s">
        <v>273</v>
      </c>
      <c r="I61" s="15">
        <v>58.7</v>
      </c>
      <c r="J61" s="15">
        <v>10.3</v>
      </c>
      <c r="K61" s="15">
        <v>18.899999999999999</v>
      </c>
      <c r="L61" s="15">
        <v>9.1999999999999993</v>
      </c>
      <c r="M61" s="15" t="s">
        <v>273</v>
      </c>
      <c r="N61" s="15" t="s">
        <v>273</v>
      </c>
      <c r="O61" s="15">
        <v>25.3</v>
      </c>
      <c r="P61" s="15">
        <v>11.1</v>
      </c>
      <c r="Q61" s="15" t="s">
        <v>273</v>
      </c>
      <c r="R61" s="15" t="s">
        <v>273</v>
      </c>
      <c r="S61" s="15" t="s">
        <v>273</v>
      </c>
      <c r="T61" s="15" t="s">
        <v>273</v>
      </c>
      <c r="U61" s="15" t="s">
        <v>273</v>
      </c>
      <c r="V61" s="15" t="s">
        <v>273</v>
      </c>
      <c r="W61" s="15" t="s">
        <v>273</v>
      </c>
      <c r="X61" s="15" t="s">
        <v>273</v>
      </c>
      <c r="Y61" s="15" t="s">
        <v>290</v>
      </c>
      <c r="Z61" s="16" t="s">
        <v>736</v>
      </c>
      <c r="AA61" s="16" t="s">
        <v>273</v>
      </c>
      <c r="AB61" s="16" t="s">
        <v>273</v>
      </c>
      <c r="AC61" s="15" t="s">
        <v>527</v>
      </c>
      <c r="AD61" s="15" t="s">
        <v>1248</v>
      </c>
      <c r="AE61" s="15" t="s">
        <v>1287</v>
      </c>
      <c r="AF61" s="16" t="s">
        <v>921</v>
      </c>
      <c r="AG61" s="16" t="s">
        <v>242</v>
      </c>
      <c r="AH61" s="15" t="s">
        <v>1432</v>
      </c>
      <c r="AI61" s="15" t="s">
        <v>910</v>
      </c>
      <c r="AJ61" s="15">
        <v>2400</v>
      </c>
      <c r="AK61" s="15">
        <v>25</v>
      </c>
      <c r="AL61" s="15">
        <v>210</v>
      </c>
      <c r="AM61" s="15">
        <f t="shared" si="16"/>
        <v>8.4</v>
      </c>
      <c r="AN61" s="16" t="s">
        <v>736</v>
      </c>
      <c r="AO61" s="15">
        <v>3</v>
      </c>
      <c r="AP61" s="16" t="s">
        <v>428</v>
      </c>
      <c r="AQ61" s="16" t="s">
        <v>1444</v>
      </c>
      <c r="AR61" s="16" t="s">
        <v>269</v>
      </c>
      <c r="AS61" s="16" t="s">
        <v>269</v>
      </c>
      <c r="AT61" s="16" t="s">
        <v>1444</v>
      </c>
      <c r="AU61" s="16" t="s">
        <v>269</v>
      </c>
      <c r="AV61" s="16" t="s">
        <v>269</v>
      </c>
      <c r="AW61" s="15">
        <v>3</v>
      </c>
      <c r="AX61" s="16">
        <v>0.2</v>
      </c>
      <c r="AY61" s="16" t="s">
        <v>273</v>
      </c>
      <c r="AZ61" s="16" t="s">
        <v>273</v>
      </c>
      <c r="BA61" s="16" t="s">
        <v>273</v>
      </c>
      <c r="BB61" s="16" t="s">
        <v>273</v>
      </c>
      <c r="BC61" s="16" t="s">
        <v>273</v>
      </c>
      <c r="BD61" s="16" t="s">
        <v>273</v>
      </c>
      <c r="BE61" s="15" t="s">
        <v>266</v>
      </c>
      <c r="BF61" s="15" t="s">
        <v>1464</v>
      </c>
      <c r="BG61" s="15">
        <v>0.01</v>
      </c>
      <c r="BH61" s="15">
        <v>0.1</v>
      </c>
      <c r="BI61" s="15" t="s">
        <v>273</v>
      </c>
      <c r="BJ61" s="15" t="s">
        <v>273</v>
      </c>
      <c r="BK61" s="15" t="s">
        <v>273</v>
      </c>
      <c r="BL61" s="17" t="s">
        <v>1073</v>
      </c>
      <c r="BM61" s="18">
        <v>8</v>
      </c>
      <c r="BN61" s="15">
        <v>216</v>
      </c>
      <c r="BO61" s="17" t="s">
        <v>1564</v>
      </c>
      <c r="BP61" s="15" t="s">
        <v>1118</v>
      </c>
      <c r="BQ61" s="15" t="s">
        <v>243</v>
      </c>
      <c r="BR61" s="15">
        <v>44</v>
      </c>
      <c r="BS61" s="15">
        <v>2.4</v>
      </c>
      <c r="BT61" s="15" t="s">
        <v>1130</v>
      </c>
      <c r="BU61" s="15">
        <v>2</v>
      </c>
      <c r="BV61" s="15" t="s">
        <v>1140</v>
      </c>
      <c r="BW61" s="3" t="s">
        <v>1468</v>
      </c>
      <c r="BX61" s="16" t="s">
        <v>273</v>
      </c>
      <c r="BY61" t="s">
        <v>346</v>
      </c>
      <c r="BZ61" s="16" t="s">
        <v>736</v>
      </c>
      <c r="CA61" s="16" t="s">
        <v>1489</v>
      </c>
      <c r="CB61" s="16" t="s">
        <v>1211</v>
      </c>
      <c r="CC61" s="16" t="s">
        <v>1198</v>
      </c>
      <c r="CD61" s="16" t="s">
        <v>1220</v>
      </c>
      <c r="CE61" s="16" t="s">
        <v>1211</v>
      </c>
      <c r="CF61" s="16" t="s">
        <v>1211</v>
      </c>
      <c r="CG61" s="16" t="s">
        <v>1520</v>
      </c>
      <c r="CH61" s="16" t="s">
        <v>1174</v>
      </c>
      <c r="CI61" s="22"/>
      <c r="CK61" s="16"/>
      <c r="CM61" s="16"/>
      <c r="CN61" s="16"/>
      <c r="CO61" s="16"/>
      <c r="CP61" s="16"/>
      <c r="CQ61" s="16"/>
      <c r="CS61" s="16"/>
      <c r="CT61" s="16"/>
      <c r="CU61" s="16"/>
      <c r="CV61" s="16"/>
      <c r="CX61" s="16"/>
      <c r="CY61" s="16"/>
      <c r="CZ61" s="16"/>
      <c r="DA61" s="16"/>
      <c r="DB61" s="16"/>
      <c r="DC61" s="16"/>
      <c r="DD61" s="19"/>
      <c r="DG61" s="33"/>
    </row>
  </sheetData>
  <mergeCells count="13">
    <mergeCell ref="DG3:DG61"/>
    <mergeCell ref="A1:E1"/>
    <mergeCell ref="F1:AE1"/>
    <mergeCell ref="AF1:BZ1"/>
    <mergeCell ref="CJ1:CP1"/>
    <mergeCell ref="CR1:CX1"/>
    <mergeCell ref="DA1:DB1"/>
    <mergeCell ref="CA1:CH1"/>
    <mergeCell ref="DC1:DC2"/>
    <mergeCell ref="DD1:DD2"/>
    <mergeCell ref="DE1:DE2"/>
    <mergeCell ref="DF1:DF2"/>
    <mergeCell ref="DG1:DG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6F4F-B040-4396-99E0-4664E3A72D59}">
  <dimension ref="A1:CG61"/>
  <sheetViews>
    <sheetView tabSelected="1" topLeftCell="BP45" workbookViewId="0">
      <selection activeCell="BY52" sqref="BY52"/>
    </sheetView>
  </sheetViews>
  <sheetFormatPr defaultRowHeight="14.25"/>
  <sheetData>
    <row r="1" spans="1:85">
      <c r="A1" s="34" t="s">
        <v>219</v>
      </c>
      <c r="B1" s="34"/>
      <c r="C1" s="34"/>
      <c r="D1" s="34"/>
      <c r="E1" s="34"/>
      <c r="F1" s="34" t="s">
        <v>36</v>
      </c>
      <c r="G1" s="34"/>
      <c r="H1" s="34"/>
      <c r="I1" s="34"/>
      <c r="J1" s="34"/>
      <c r="K1" s="34"/>
      <c r="L1" s="34"/>
      <c r="M1" s="34"/>
      <c r="N1" s="34"/>
      <c r="O1" s="34"/>
      <c r="P1" s="34"/>
      <c r="Q1" s="34"/>
      <c r="R1" s="34"/>
      <c r="S1" s="34"/>
      <c r="T1" s="34"/>
      <c r="U1" s="34"/>
      <c r="V1" s="34"/>
      <c r="W1" s="34"/>
      <c r="X1" s="34"/>
      <c r="Y1" s="34"/>
      <c r="Z1" s="34"/>
      <c r="AA1" s="34"/>
      <c r="AB1" s="34"/>
      <c r="AC1" s="34"/>
      <c r="AD1" s="34"/>
      <c r="AE1" s="34"/>
      <c r="AF1" s="34" t="s">
        <v>37</v>
      </c>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t="s">
        <v>1144</v>
      </c>
      <c r="CA1" s="34"/>
      <c r="CB1" s="34"/>
      <c r="CC1" s="34"/>
      <c r="CD1" s="34"/>
      <c r="CE1" s="34"/>
      <c r="CF1" s="34"/>
      <c r="CG1" s="34"/>
    </row>
    <row r="2" spans="1:85">
      <c r="A2" t="s">
        <v>1292</v>
      </c>
      <c r="B2" t="s">
        <v>1293</v>
      </c>
      <c r="C2" t="s">
        <v>1294</v>
      </c>
      <c r="D2" t="s">
        <v>1295</v>
      </c>
      <c r="E2" t="s">
        <v>1296</v>
      </c>
      <c r="F2" t="s">
        <v>1288</v>
      </c>
      <c r="G2" t="s">
        <v>1378</v>
      </c>
      <c r="H2" t="s">
        <v>1379</v>
      </c>
      <c r="I2" t="s">
        <v>1380</v>
      </c>
      <c r="J2" t="s">
        <v>1381</v>
      </c>
      <c r="K2" t="s">
        <v>1388</v>
      </c>
      <c r="L2" t="s">
        <v>1389</v>
      </c>
      <c r="M2" t="s">
        <v>1390</v>
      </c>
      <c r="N2" t="s">
        <v>1391</v>
      </c>
      <c r="O2" t="s">
        <v>1392</v>
      </c>
      <c r="P2" t="s">
        <v>1393</v>
      </c>
      <c r="Q2" t="s">
        <v>1394</v>
      </c>
      <c r="R2" t="s">
        <v>1395</v>
      </c>
      <c r="S2" t="s">
        <v>1396</v>
      </c>
      <c r="T2" t="s">
        <v>1397</v>
      </c>
      <c r="U2" t="s">
        <v>1398</v>
      </c>
      <c r="V2" t="s">
        <v>1399</v>
      </c>
      <c r="W2" t="s">
        <v>1400</v>
      </c>
      <c r="X2" t="s">
        <v>1401</v>
      </c>
      <c r="Y2" t="s">
        <v>1289</v>
      </c>
      <c r="Z2" t="s">
        <v>1290</v>
      </c>
      <c r="AA2" t="s">
        <v>1406</v>
      </c>
      <c r="AB2" t="s">
        <v>1407</v>
      </c>
      <c r="AC2" t="s">
        <v>1267</v>
      </c>
      <c r="AD2" t="s">
        <v>1268</v>
      </c>
      <c r="AE2" t="s">
        <v>1269</v>
      </c>
      <c r="AF2" t="s">
        <v>1291</v>
      </c>
      <c r="AG2" t="s">
        <v>1408</v>
      </c>
      <c r="AH2" t="s">
        <v>1430</v>
      </c>
      <c r="AI2" t="s">
        <v>1431</v>
      </c>
      <c r="AJ2" t="s">
        <v>1297</v>
      </c>
      <c r="AK2" t="s">
        <v>1298</v>
      </c>
      <c r="AL2" t="s">
        <v>1299</v>
      </c>
      <c r="AM2" t="s">
        <v>1300</v>
      </c>
      <c r="AN2" t="s">
        <v>1301</v>
      </c>
      <c r="AO2" t="s">
        <v>1302</v>
      </c>
      <c r="AP2" t="s">
        <v>1437</v>
      </c>
      <c r="AQ2" t="s">
        <v>1438</v>
      </c>
      <c r="AR2" t="s">
        <v>1439</v>
      </c>
      <c r="AS2" t="s">
        <v>1440</v>
      </c>
      <c r="AT2" t="s">
        <v>1441</v>
      </c>
      <c r="AU2" t="s">
        <v>1442</v>
      </c>
      <c r="AV2" t="s">
        <v>1443</v>
      </c>
      <c r="AW2" t="s">
        <v>1446</v>
      </c>
      <c r="AX2" t="s">
        <v>1447</v>
      </c>
      <c r="AY2" t="s">
        <v>1448</v>
      </c>
      <c r="AZ2" t="s">
        <v>1449</v>
      </c>
      <c r="BA2" t="s">
        <v>1450</v>
      </c>
      <c r="BB2" t="s">
        <v>1451</v>
      </c>
      <c r="BC2" t="s">
        <v>260</v>
      </c>
      <c r="BD2" t="s">
        <v>1303</v>
      </c>
      <c r="BE2" t="s">
        <v>1458</v>
      </c>
      <c r="BF2" t="s">
        <v>1459</v>
      </c>
      <c r="BG2" t="s">
        <v>1460</v>
      </c>
      <c r="BH2" t="s">
        <v>1461</v>
      </c>
      <c r="BI2" t="s">
        <v>1462</v>
      </c>
      <c r="BJ2" t="s">
        <v>1463</v>
      </c>
      <c r="BK2" t="s">
        <v>1304</v>
      </c>
      <c r="BL2" t="s">
        <v>1305</v>
      </c>
      <c r="BM2" t="s">
        <v>1306</v>
      </c>
      <c r="BN2" t="s">
        <v>1565</v>
      </c>
      <c r="BO2" t="s">
        <v>1307</v>
      </c>
      <c r="BP2" t="s">
        <v>1308</v>
      </c>
      <c r="BQ2" t="s">
        <v>1309</v>
      </c>
      <c r="BR2" t="s">
        <v>1310</v>
      </c>
      <c r="BS2" t="s">
        <v>1311</v>
      </c>
      <c r="BT2" t="s">
        <v>1312</v>
      </c>
      <c r="BU2" t="s">
        <v>1313</v>
      </c>
      <c r="BV2" t="s">
        <v>1314</v>
      </c>
      <c r="BW2" t="s">
        <v>1315</v>
      </c>
      <c r="BX2" t="s">
        <v>1316</v>
      </c>
      <c r="BY2" t="s">
        <v>1317</v>
      </c>
      <c r="BZ2" t="s">
        <v>1479</v>
      </c>
      <c r="CA2" t="s">
        <v>1213</v>
      </c>
      <c r="CB2" t="s">
        <v>1214</v>
      </c>
      <c r="CC2" t="s">
        <v>1215</v>
      </c>
      <c r="CD2" t="s">
        <v>1199</v>
      </c>
      <c r="CE2" t="s">
        <v>1216</v>
      </c>
      <c r="CF2" t="s">
        <v>1507</v>
      </c>
      <c r="CG2" t="s">
        <v>1145</v>
      </c>
    </row>
    <row r="3" spans="1:85">
      <c r="A3" s="27" t="s">
        <v>59</v>
      </c>
      <c r="B3" t="s">
        <v>1320</v>
      </c>
      <c r="C3">
        <v>2023</v>
      </c>
      <c r="D3" s="3" t="s">
        <v>1357</v>
      </c>
      <c r="E3" t="s">
        <v>62</v>
      </c>
      <c r="F3">
        <v>27</v>
      </c>
      <c r="G3" t="s">
        <v>273</v>
      </c>
      <c r="H3" t="s">
        <v>273</v>
      </c>
      <c r="I3">
        <v>64.8</v>
      </c>
      <c r="J3">
        <v>7.6</v>
      </c>
      <c r="K3">
        <v>32.9</v>
      </c>
      <c r="L3">
        <v>10.9</v>
      </c>
      <c r="M3" t="s">
        <v>273</v>
      </c>
      <c r="N3" t="s">
        <v>273</v>
      </c>
      <c r="O3">
        <v>54.3</v>
      </c>
      <c r="P3">
        <v>16.2</v>
      </c>
      <c r="Q3" t="s">
        <v>273</v>
      </c>
      <c r="R3" t="s">
        <v>273</v>
      </c>
      <c r="S3" t="s">
        <v>273</v>
      </c>
      <c r="T3" t="s">
        <v>273</v>
      </c>
      <c r="U3" t="s">
        <v>273</v>
      </c>
      <c r="V3" t="s">
        <v>273</v>
      </c>
      <c r="W3" t="s">
        <v>273</v>
      </c>
      <c r="X3" t="s">
        <v>273</v>
      </c>
      <c r="Y3" t="s">
        <v>289</v>
      </c>
      <c r="Z3">
        <v>16</v>
      </c>
      <c r="AA3">
        <v>60.3</v>
      </c>
      <c r="AB3">
        <v>7.4</v>
      </c>
      <c r="AC3" t="s">
        <v>527</v>
      </c>
      <c r="AD3" t="s">
        <v>1270</v>
      </c>
      <c r="AE3" t="s">
        <v>1112</v>
      </c>
      <c r="AF3" t="s">
        <v>272</v>
      </c>
      <c r="AG3" t="s">
        <v>920</v>
      </c>
      <c r="AH3" t="s">
        <v>1432</v>
      </c>
      <c r="AI3" t="s">
        <v>910</v>
      </c>
      <c r="AJ3">
        <v>2100</v>
      </c>
      <c r="AK3">
        <v>40</v>
      </c>
      <c r="AL3">
        <v>210</v>
      </c>
      <c r="AM3">
        <f>AJ3*AL3/60000</f>
        <v>7.35</v>
      </c>
      <c r="AN3" t="s">
        <v>263</v>
      </c>
      <c r="AO3">
        <v>1.5</v>
      </c>
      <c r="AP3" t="s">
        <v>428</v>
      </c>
      <c r="AQ3" t="s">
        <v>1444</v>
      </c>
      <c r="AR3" t="s">
        <v>269</v>
      </c>
      <c r="AS3" t="s">
        <v>269</v>
      </c>
      <c r="AT3" s="6" t="s">
        <v>1444</v>
      </c>
      <c r="AU3" t="s">
        <v>269</v>
      </c>
      <c r="AV3" t="s">
        <v>269</v>
      </c>
      <c r="AW3" t="s">
        <v>273</v>
      </c>
      <c r="AX3" t="s">
        <v>273</v>
      </c>
      <c r="AY3" t="s">
        <v>273</v>
      </c>
      <c r="AZ3" t="s">
        <v>273</v>
      </c>
      <c r="BA3" t="s">
        <v>273</v>
      </c>
      <c r="BB3" s="6" t="s">
        <v>1657</v>
      </c>
      <c r="BC3" t="s">
        <v>273</v>
      </c>
      <c r="BD3" t="s">
        <v>266</v>
      </c>
      <c r="BE3" t="s">
        <v>1464</v>
      </c>
      <c r="BF3">
        <v>8.9999999999999993E-3</v>
      </c>
      <c r="BG3">
        <v>0.08</v>
      </c>
      <c r="BH3" t="s">
        <v>273</v>
      </c>
      <c r="BI3" t="s">
        <v>273</v>
      </c>
      <c r="BJ3" t="s">
        <v>273</v>
      </c>
      <c r="BK3" t="s">
        <v>1072</v>
      </c>
      <c r="BL3" t="s">
        <v>910</v>
      </c>
      <c r="BM3">
        <v>12</v>
      </c>
      <c r="BN3" t="s">
        <v>1537</v>
      </c>
      <c r="BO3" t="s">
        <v>1125</v>
      </c>
      <c r="BP3" t="s">
        <v>223</v>
      </c>
      <c r="BQ3" t="s">
        <v>910</v>
      </c>
      <c r="BR3" t="s">
        <v>910</v>
      </c>
      <c r="BS3" t="s">
        <v>223</v>
      </c>
      <c r="BT3">
        <v>8</v>
      </c>
      <c r="BU3" t="s">
        <v>389</v>
      </c>
      <c r="BV3" t="s">
        <v>1467</v>
      </c>
      <c r="BW3" t="s">
        <v>273</v>
      </c>
      <c r="BX3" t="s">
        <v>285</v>
      </c>
      <c r="BY3" t="s">
        <v>222</v>
      </c>
      <c r="BZ3" t="s">
        <v>1175</v>
      </c>
      <c r="CA3" t="s">
        <v>1217</v>
      </c>
      <c r="CB3" s="6" t="s">
        <v>1658</v>
      </c>
      <c r="CC3" t="s">
        <v>1218</v>
      </c>
      <c r="CD3" t="s">
        <v>1200</v>
      </c>
      <c r="CE3" t="s">
        <v>1219</v>
      </c>
      <c r="CF3" t="s">
        <v>1508</v>
      </c>
      <c r="CG3" t="s">
        <v>1146</v>
      </c>
    </row>
    <row r="4" spans="1:85">
      <c r="A4" s="3" t="s">
        <v>63</v>
      </c>
      <c r="B4" s="3" t="s">
        <v>1321</v>
      </c>
      <c r="C4" s="3">
        <v>2024</v>
      </c>
      <c r="D4" s="3" t="s">
        <v>1358</v>
      </c>
      <c r="E4" s="3" t="s">
        <v>66</v>
      </c>
      <c r="F4" s="3">
        <v>63</v>
      </c>
      <c r="G4" s="3">
        <v>50</v>
      </c>
      <c r="H4" s="3">
        <v>78</v>
      </c>
      <c r="I4" s="3">
        <v>63.6</v>
      </c>
      <c r="J4" s="3">
        <v>7.9</v>
      </c>
      <c r="K4" s="3" t="s">
        <v>273</v>
      </c>
      <c r="L4" s="3" t="s">
        <v>273</v>
      </c>
      <c r="M4" s="3" t="s">
        <v>273</v>
      </c>
      <c r="N4" s="3" t="s">
        <v>273</v>
      </c>
      <c r="O4" s="28">
        <v>23</v>
      </c>
      <c r="P4" s="3" t="s">
        <v>273</v>
      </c>
      <c r="Q4" s="3">
        <v>23</v>
      </c>
      <c r="R4" s="3">
        <v>17</v>
      </c>
      <c r="S4" s="3" t="s">
        <v>273</v>
      </c>
      <c r="T4" s="3" t="s">
        <v>273</v>
      </c>
      <c r="U4" s="3" t="s">
        <v>273</v>
      </c>
      <c r="V4" s="3" t="s">
        <v>273</v>
      </c>
      <c r="W4" s="3" t="s">
        <v>273</v>
      </c>
      <c r="X4" s="3" t="s">
        <v>273</v>
      </c>
      <c r="Y4" s="3" t="s">
        <v>289</v>
      </c>
      <c r="Z4" s="3">
        <v>16</v>
      </c>
      <c r="AA4">
        <v>66.3</v>
      </c>
      <c r="AB4">
        <v>7.4</v>
      </c>
      <c r="AC4" s="3" t="s">
        <v>331</v>
      </c>
      <c r="AD4" s="3" t="s">
        <v>1271</v>
      </c>
      <c r="AE4" s="3" t="s">
        <v>1272</v>
      </c>
      <c r="AF4" s="3" t="s">
        <v>921</v>
      </c>
      <c r="AG4" s="3" t="s">
        <v>242</v>
      </c>
      <c r="AH4" s="3" t="s">
        <v>1432</v>
      </c>
      <c r="AI4" s="3" t="s">
        <v>910</v>
      </c>
      <c r="AJ4" s="3">
        <v>2400</v>
      </c>
      <c r="AK4" s="3">
        <v>25</v>
      </c>
      <c r="AL4" s="3">
        <v>210</v>
      </c>
      <c r="AM4" s="3">
        <f t="shared" ref="AM4:AM22" si="0">AJ4*AL4/60000</f>
        <v>8.4</v>
      </c>
      <c r="AN4" s="3" t="s">
        <v>353</v>
      </c>
      <c r="AO4" s="3">
        <v>3</v>
      </c>
      <c r="AP4" s="3" t="s">
        <v>271</v>
      </c>
      <c r="AQ4" s="29" t="s">
        <v>1444</v>
      </c>
      <c r="AR4" s="3" t="s">
        <v>269</v>
      </c>
      <c r="AS4" s="3" t="s">
        <v>269</v>
      </c>
      <c r="AT4" s="8" t="s">
        <v>1444</v>
      </c>
      <c r="AU4" s="3" t="s">
        <v>269</v>
      </c>
      <c r="AV4" s="8" t="s">
        <v>1444</v>
      </c>
      <c r="AW4" s="3" t="s">
        <v>273</v>
      </c>
      <c r="AX4" s="3">
        <v>1.65</v>
      </c>
      <c r="AY4" s="3" t="s">
        <v>273</v>
      </c>
      <c r="AZ4" s="3" t="s">
        <v>273</v>
      </c>
      <c r="BA4" s="3" t="s">
        <v>273</v>
      </c>
      <c r="BB4" s="28" t="s">
        <v>1659</v>
      </c>
      <c r="BC4" t="s">
        <v>273</v>
      </c>
      <c r="BD4" s="3" t="s">
        <v>270</v>
      </c>
      <c r="BE4" s="3" t="s">
        <v>273</v>
      </c>
      <c r="BF4" s="3" t="s">
        <v>273</v>
      </c>
      <c r="BG4" s="3" t="s">
        <v>273</v>
      </c>
      <c r="BH4" s="3" t="s">
        <v>273</v>
      </c>
      <c r="BI4" s="3" t="s">
        <v>273</v>
      </c>
      <c r="BJ4" s="3" t="s">
        <v>273</v>
      </c>
      <c r="BK4" s="3" t="s">
        <v>992</v>
      </c>
      <c r="BL4" s="3" t="s">
        <v>910</v>
      </c>
      <c r="BM4" s="3">
        <v>57</v>
      </c>
      <c r="BN4" s="3" t="s">
        <v>910</v>
      </c>
      <c r="BO4" s="3" t="s">
        <v>687</v>
      </c>
      <c r="BP4" s="3" t="s">
        <v>243</v>
      </c>
      <c r="BQ4" s="3">
        <v>44</v>
      </c>
      <c r="BR4" s="3">
        <v>2.4</v>
      </c>
      <c r="BS4" s="3" t="s">
        <v>1130</v>
      </c>
      <c r="BT4" s="3">
        <v>3</v>
      </c>
      <c r="BU4" s="3" t="s">
        <v>389</v>
      </c>
      <c r="BV4" s="3" t="s">
        <v>1468</v>
      </c>
      <c r="BW4" t="s">
        <v>273</v>
      </c>
      <c r="BX4" s="3" t="s">
        <v>346</v>
      </c>
      <c r="BY4" s="30" t="s">
        <v>1660</v>
      </c>
      <c r="BZ4" t="s">
        <v>1480</v>
      </c>
      <c r="CA4" t="s">
        <v>1180</v>
      </c>
      <c r="CB4" t="s">
        <v>1211</v>
      </c>
      <c r="CC4" t="s">
        <v>1218</v>
      </c>
      <c r="CD4" t="s">
        <v>1201</v>
      </c>
      <c r="CE4" t="s">
        <v>1219</v>
      </c>
      <c r="CF4" t="s">
        <v>1242</v>
      </c>
      <c r="CG4" t="s">
        <v>1039</v>
      </c>
    </row>
    <row r="5" spans="1:85">
      <c r="A5" s="3" t="s">
        <v>63</v>
      </c>
      <c r="B5" s="3" t="s">
        <v>1321</v>
      </c>
      <c r="C5" s="3">
        <v>2024</v>
      </c>
      <c r="D5" t="s">
        <v>1358</v>
      </c>
      <c r="E5" s="3" t="s">
        <v>66</v>
      </c>
      <c r="F5" s="3">
        <v>52</v>
      </c>
      <c r="G5" s="3">
        <v>50</v>
      </c>
      <c r="H5" s="3">
        <v>83</v>
      </c>
      <c r="I5" s="28">
        <v>66.8</v>
      </c>
      <c r="J5" s="28">
        <v>8</v>
      </c>
      <c r="K5" t="s">
        <v>273</v>
      </c>
      <c r="L5" t="s">
        <v>273</v>
      </c>
      <c r="M5" t="s">
        <v>273</v>
      </c>
      <c r="N5" t="s">
        <v>273</v>
      </c>
      <c r="O5" s="28">
        <v>25</v>
      </c>
      <c r="P5" t="s">
        <v>273</v>
      </c>
      <c r="Q5">
        <v>25</v>
      </c>
      <c r="R5">
        <v>11.5</v>
      </c>
      <c r="S5" t="s">
        <v>273</v>
      </c>
      <c r="T5" t="s">
        <v>273</v>
      </c>
      <c r="U5" t="s">
        <v>273</v>
      </c>
      <c r="V5" t="s">
        <v>273</v>
      </c>
      <c r="W5" t="s">
        <v>273</v>
      </c>
      <c r="X5" t="s">
        <v>273</v>
      </c>
      <c r="Y5" s="3" t="s">
        <v>289</v>
      </c>
      <c r="Z5" s="3">
        <v>17</v>
      </c>
      <c r="AA5">
        <v>65.099999999999994</v>
      </c>
      <c r="AB5">
        <v>7.1</v>
      </c>
      <c r="AC5" s="3" t="s">
        <v>331</v>
      </c>
      <c r="AD5" s="3" t="s">
        <v>1271</v>
      </c>
      <c r="AE5" s="3" t="s">
        <v>1272</v>
      </c>
      <c r="AF5" s="3" t="s">
        <v>272</v>
      </c>
      <c r="AG5" t="s">
        <v>1409</v>
      </c>
      <c r="AH5" s="3" t="s">
        <v>1432</v>
      </c>
      <c r="AI5" s="3" t="s">
        <v>910</v>
      </c>
      <c r="AJ5" s="3">
        <v>776</v>
      </c>
      <c r="AK5" s="3">
        <v>37.4</v>
      </c>
      <c r="AL5" s="3">
        <v>617</v>
      </c>
      <c r="AM5" s="3">
        <f t="shared" si="0"/>
        <v>7.9798666666666671</v>
      </c>
      <c r="AN5" s="3" t="s">
        <v>264</v>
      </c>
      <c r="AO5" s="3">
        <v>3</v>
      </c>
      <c r="AP5" s="3" t="s">
        <v>271</v>
      </c>
      <c r="AQ5" s="29" t="s">
        <v>1444</v>
      </c>
      <c r="AR5" s="3" t="s">
        <v>269</v>
      </c>
      <c r="AS5" s="3" t="s">
        <v>269</v>
      </c>
      <c r="AT5" s="8" t="s">
        <v>1444</v>
      </c>
      <c r="AU5" s="3" t="s">
        <v>269</v>
      </c>
      <c r="AV5" s="8" t="s">
        <v>1444</v>
      </c>
      <c r="AW5" s="3" t="s">
        <v>273</v>
      </c>
      <c r="AX5" s="3">
        <v>1</v>
      </c>
      <c r="AY5" s="3" t="s">
        <v>273</v>
      </c>
      <c r="AZ5" s="3" t="s">
        <v>273</v>
      </c>
      <c r="BA5" s="3" t="s">
        <v>273</v>
      </c>
      <c r="BB5" s="28" t="s">
        <v>1659</v>
      </c>
      <c r="BC5" t="s">
        <v>273</v>
      </c>
      <c r="BD5" s="3" t="s">
        <v>270</v>
      </c>
      <c r="BE5" s="3" t="s">
        <v>273</v>
      </c>
      <c r="BF5" s="3" t="s">
        <v>273</v>
      </c>
      <c r="BG5" s="3" t="s">
        <v>273</v>
      </c>
      <c r="BH5" s="3" t="s">
        <v>273</v>
      </c>
      <c r="BI5" s="3" t="s">
        <v>273</v>
      </c>
      <c r="BJ5" s="3" t="s">
        <v>273</v>
      </c>
      <c r="BK5" s="3" t="s">
        <v>992</v>
      </c>
      <c r="BL5" s="3" t="s">
        <v>910</v>
      </c>
      <c r="BM5" s="3">
        <v>57</v>
      </c>
      <c r="BN5" s="3" t="s">
        <v>910</v>
      </c>
      <c r="BO5" s="3" t="s">
        <v>687</v>
      </c>
      <c r="BP5" s="3" t="s">
        <v>243</v>
      </c>
      <c r="BQ5" s="3">
        <v>44</v>
      </c>
      <c r="BR5" s="3">
        <v>0.77600000000000002</v>
      </c>
      <c r="BS5" s="3" t="s">
        <v>1130</v>
      </c>
      <c r="BT5" s="3">
        <v>3</v>
      </c>
      <c r="BU5" s="3" t="s">
        <v>389</v>
      </c>
      <c r="BV5" s="3" t="s">
        <v>1468</v>
      </c>
      <c r="BW5" t="s">
        <v>273</v>
      </c>
      <c r="BX5" s="3" t="s">
        <v>285</v>
      </c>
      <c r="BY5" t="s">
        <v>736</v>
      </c>
      <c r="BZ5" t="s">
        <v>1480</v>
      </c>
      <c r="CA5" t="s">
        <v>1180</v>
      </c>
      <c r="CB5" t="s">
        <v>1211</v>
      </c>
      <c r="CC5" t="s">
        <v>1218</v>
      </c>
      <c r="CD5" t="s">
        <v>1201</v>
      </c>
      <c r="CE5" t="s">
        <v>1219</v>
      </c>
      <c r="CF5" t="s">
        <v>1242</v>
      </c>
      <c r="CG5" t="s">
        <v>1039</v>
      </c>
    </row>
    <row r="6" spans="1:85">
      <c r="A6" s="27" t="s">
        <v>67</v>
      </c>
      <c r="B6" t="s">
        <v>1322</v>
      </c>
      <c r="C6">
        <v>2023</v>
      </c>
      <c r="D6" s="3" t="s">
        <v>1359</v>
      </c>
      <c r="E6" t="s">
        <v>70</v>
      </c>
      <c r="F6">
        <v>40</v>
      </c>
      <c r="G6" t="s">
        <v>273</v>
      </c>
      <c r="H6" t="s">
        <v>273</v>
      </c>
      <c r="I6">
        <v>63.3</v>
      </c>
      <c r="J6">
        <v>3.2</v>
      </c>
      <c r="K6" t="s">
        <v>273</v>
      </c>
      <c r="L6" t="s">
        <v>273</v>
      </c>
      <c r="M6" t="s">
        <v>273</v>
      </c>
      <c r="N6" t="s">
        <v>273</v>
      </c>
      <c r="O6">
        <v>44.7</v>
      </c>
      <c r="P6">
        <v>17.399999999999999</v>
      </c>
      <c r="Q6" t="s">
        <v>273</v>
      </c>
      <c r="R6" t="s">
        <v>273</v>
      </c>
      <c r="S6" t="s">
        <v>273</v>
      </c>
      <c r="T6" t="s">
        <v>273</v>
      </c>
      <c r="U6">
        <v>2</v>
      </c>
      <c r="V6" t="s">
        <v>273</v>
      </c>
      <c r="W6">
        <v>1</v>
      </c>
      <c r="X6">
        <v>3</v>
      </c>
      <c r="Y6" t="s">
        <v>289</v>
      </c>
      <c r="Z6" t="s">
        <v>736</v>
      </c>
      <c r="AA6" t="s">
        <v>273</v>
      </c>
      <c r="AB6" t="s">
        <v>273</v>
      </c>
      <c r="AC6" t="s">
        <v>331</v>
      </c>
      <c r="AD6" t="s">
        <v>1273</v>
      </c>
      <c r="AE6" t="s">
        <v>1107</v>
      </c>
      <c r="AF6" s="6" t="s">
        <v>272</v>
      </c>
      <c r="AG6" t="s">
        <v>1410</v>
      </c>
      <c r="AH6" t="s">
        <v>1432</v>
      </c>
      <c r="AI6" t="s">
        <v>910</v>
      </c>
      <c r="AJ6">
        <v>859</v>
      </c>
      <c r="AK6">
        <v>34</v>
      </c>
      <c r="AL6">
        <v>700</v>
      </c>
      <c r="AM6">
        <f t="shared" si="0"/>
        <v>10.021666666666667</v>
      </c>
      <c r="AN6" t="s">
        <v>274</v>
      </c>
      <c r="AO6">
        <v>3</v>
      </c>
      <c r="AP6" t="s">
        <v>273</v>
      </c>
      <c r="AQ6" s="6" t="s">
        <v>1444</v>
      </c>
      <c r="AR6" t="s">
        <v>1444</v>
      </c>
      <c r="AS6" t="s">
        <v>269</v>
      </c>
      <c r="AT6" t="s">
        <v>269</v>
      </c>
      <c r="AU6" t="s">
        <v>269</v>
      </c>
      <c r="AV6" t="s">
        <v>269</v>
      </c>
      <c r="AW6" t="s">
        <v>273</v>
      </c>
      <c r="AX6">
        <v>2.2000000000000002</v>
      </c>
      <c r="AY6" t="s">
        <v>273</v>
      </c>
      <c r="AZ6" t="s">
        <v>273</v>
      </c>
      <c r="BA6" t="s">
        <v>273</v>
      </c>
      <c r="BB6" t="s">
        <v>273</v>
      </c>
      <c r="BC6" t="s">
        <v>273</v>
      </c>
      <c r="BD6" t="s">
        <v>277</v>
      </c>
      <c r="BE6" t="s">
        <v>1464</v>
      </c>
      <c r="BF6">
        <v>2E-3</v>
      </c>
      <c r="BG6">
        <v>0.125</v>
      </c>
      <c r="BH6" t="s">
        <v>273</v>
      </c>
      <c r="BI6" t="s">
        <v>273</v>
      </c>
      <c r="BJ6" t="s">
        <v>273</v>
      </c>
      <c r="BK6" s="3" t="s">
        <v>992</v>
      </c>
      <c r="BL6" s="3" t="s">
        <v>910</v>
      </c>
      <c r="BM6">
        <v>375</v>
      </c>
      <c r="BN6" s="3" t="s">
        <v>910</v>
      </c>
      <c r="BO6" s="3" t="s">
        <v>1115</v>
      </c>
      <c r="BP6" t="s">
        <v>281</v>
      </c>
      <c r="BQ6">
        <v>21</v>
      </c>
      <c r="BR6" t="s">
        <v>910</v>
      </c>
      <c r="BS6" t="s">
        <v>281</v>
      </c>
      <c r="BT6">
        <v>3</v>
      </c>
      <c r="BU6" t="s">
        <v>389</v>
      </c>
      <c r="BV6" t="s">
        <v>910</v>
      </c>
      <c r="BW6" t="s">
        <v>1469</v>
      </c>
      <c r="BX6" t="s">
        <v>284</v>
      </c>
      <c r="BY6" t="s">
        <v>736</v>
      </c>
      <c r="BZ6" t="s">
        <v>1176</v>
      </c>
      <c r="CA6" t="s">
        <v>1181</v>
      </c>
      <c r="CB6" t="s">
        <v>1211</v>
      </c>
      <c r="CC6" t="s">
        <v>1220</v>
      </c>
      <c r="CD6" s="6" t="s">
        <v>1661</v>
      </c>
      <c r="CE6" t="s">
        <v>1211</v>
      </c>
      <c r="CF6" t="s">
        <v>1243</v>
      </c>
      <c r="CG6" t="s">
        <v>1147</v>
      </c>
    </row>
    <row r="7" spans="1:85">
      <c r="A7" s="3" t="s">
        <v>71</v>
      </c>
      <c r="B7" s="3" t="s">
        <v>1323</v>
      </c>
      <c r="C7" s="3">
        <v>2024</v>
      </c>
      <c r="D7" t="s">
        <v>1360</v>
      </c>
      <c r="E7" s="3" t="s">
        <v>74</v>
      </c>
      <c r="F7" s="3">
        <v>21</v>
      </c>
      <c r="G7" s="3" t="s">
        <v>273</v>
      </c>
      <c r="H7" s="3" t="s">
        <v>273</v>
      </c>
      <c r="I7" s="3">
        <v>59.43</v>
      </c>
      <c r="J7" s="3">
        <v>4.71</v>
      </c>
      <c r="K7" s="3">
        <v>16.670000000000002</v>
      </c>
      <c r="L7" s="3">
        <v>9.16</v>
      </c>
      <c r="M7" s="3" t="s">
        <v>273</v>
      </c>
      <c r="N7" s="3" t="s">
        <v>273</v>
      </c>
      <c r="O7" s="3">
        <v>29.48</v>
      </c>
      <c r="P7" s="3">
        <v>16.62</v>
      </c>
      <c r="Q7" s="3" t="s">
        <v>273</v>
      </c>
      <c r="R7" s="3" t="s">
        <v>273</v>
      </c>
      <c r="S7" s="3">
        <v>2.76</v>
      </c>
      <c r="T7" s="3">
        <v>0.98</v>
      </c>
      <c r="U7" s="3" t="s">
        <v>273</v>
      </c>
      <c r="V7" s="3" t="s">
        <v>273</v>
      </c>
      <c r="W7" s="3" t="s">
        <v>273</v>
      </c>
      <c r="X7" s="3" t="s">
        <v>273</v>
      </c>
      <c r="Y7" s="3" t="s">
        <v>290</v>
      </c>
      <c r="Z7" s="3">
        <v>29</v>
      </c>
      <c r="AA7" s="3">
        <v>59.45</v>
      </c>
      <c r="AB7" s="3">
        <v>4.76</v>
      </c>
      <c r="AC7" s="3" t="s">
        <v>331</v>
      </c>
      <c r="AD7" s="3" t="s">
        <v>1273</v>
      </c>
      <c r="AE7" s="3" t="s">
        <v>1107</v>
      </c>
      <c r="AF7" s="3" t="s">
        <v>272</v>
      </c>
      <c r="AG7" s="3" t="s">
        <v>924</v>
      </c>
      <c r="AH7" s="3" t="s">
        <v>1432</v>
      </c>
      <c r="AI7" s="3" t="s">
        <v>910</v>
      </c>
      <c r="AJ7" s="3">
        <v>2000</v>
      </c>
      <c r="AK7" s="3">
        <v>30</v>
      </c>
      <c r="AL7" s="3">
        <v>240</v>
      </c>
      <c r="AM7" s="3">
        <f t="shared" si="0"/>
        <v>8</v>
      </c>
      <c r="AN7" s="3" t="s">
        <v>263</v>
      </c>
      <c r="AO7" s="3">
        <v>3</v>
      </c>
      <c r="AP7" s="3" t="s">
        <v>428</v>
      </c>
      <c r="AQ7" s="3" t="s">
        <v>1444</v>
      </c>
      <c r="AR7" s="3" t="s">
        <v>269</v>
      </c>
      <c r="AS7" s="3" t="s">
        <v>269</v>
      </c>
      <c r="AT7" s="3" t="s">
        <v>1444</v>
      </c>
      <c r="AU7" s="8" t="s">
        <v>1444</v>
      </c>
      <c r="AV7" s="3" t="s">
        <v>269</v>
      </c>
      <c r="AW7" s="3" t="s">
        <v>273</v>
      </c>
      <c r="AX7" s="3" t="s">
        <v>273</v>
      </c>
      <c r="AY7" s="3">
        <v>3</v>
      </c>
      <c r="AZ7" s="3">
        <v>3</v>
      </c>
      <c r="BA7" s="3" t="s">
        <v>273</v>
      </c>
      <c r="BB7" s="3" t="s">
        <v>273</v>
      </c>
      <c r="BC7" t="s">
        <v>273</v>
      </c>
      <c r="BD7" s="3" t="s">
        <v>270</v>
      </c>
      <c r="BE7" s="3" t="s">
        <v>1464</v>
      </c>
      <c r="BF7" s="3">
        <v>0.01</v>
      </c>
      <c r="BG7" s="3">
        <v>0.08</v>
      </c>
      <c r="BH7" s="8" t="s">
        <v>1465</v>
      </c>
      <c r="BI7" s="28">
        <v>0.01</v>
      </c>
      <c r="BJ7" s="28">
        <v>0.15</v>
      </c>
      <c r="BK7" t="s">
        <v>1073</v>
      </c>
      <c r="BL7">
        <v>3</v>
      </c>
      <c r="BM7" s="3">
        <v>15</v>
      </c>
      <c r="BN7" t="s">
        <v>1538</v>
      </c>
      <c r="BO7" s="3" t="s">
        <v>687</v>
      </c>
      <c r="BP7" s="3" t="s">
        <v>243</v>
      </c>
      <c r="BQ7" s="3">
        <v>44</v>
      </c>
      <c r="BR7" s="3">
        <v>2</v>
      </c>
      <c r="BS7" s="3" t="s">
        <v>1130</v>
      </c>
      <c r="BT7" s="3">
        <v>4</v>
      </c>
      <c r="BU7" s="3" t="s">
        <v>389</v>
      </c>
      <c r="BV7" s="3" t="s">
        <v>1468</v>
      </c>
      <c r="BW7" t="s">
        <v>273</v>
      </c>
      <c r="BX7" s="3" t="s">
        <v>285</v>
      </c>
      <c r="BY7" t="s">
        <v>736</v>
      </c>
      <c r="BZ7" t="s">
        <v>1481</v>
      </c>
      <c r="CA7" s="6" t="s">
        <v>1662</v>
      </c>
      <c r="CB7" t="s">
        <v>1221</v>
      </c>
      <c r="CC7" t="s">
        <v>1218</v>
      </c>
      <c r="CD7" t="s">
        <v>1202</v>
      </c>
      <c r="CE7" t="s">
        <v>1219</v>
      </c>
      <c r="CF7" t="s">
        <v>1244</v>
      </c>
      <c r="CG7" t="s">
        <v>1148</v>
      </c>
    </row>
    <row r="8" spans="1:85">
      <c r="A8" s="27" t="s">
        <v>75</v>
      </c>
      <c r="B8" t="s">
        <v>1324</v>
      </c>
      <c r="C8">
        <v>2023</v>
      </c>
      <c r="D8" t="s">
        <v>1361</v>
      </c>
      <c r="E8" t="s">
        <v>78</v>
      </c>
      <c r="F8">
        <v>41</v>
      </c>
      <c r="G8" t="s">
        <v>273</v>
      </c>
      <c r="H8" t="s">
        <v>273</v>
      </c>
      <c r="I8">
        <v>61.83</v>
      </c>
      <c r="J8">
        <v>9.2899999999999991</v>
      </c>
      <c r="K8">
        <v>21.27</v>
      </c>
      <c r="L8">
        <v>9.27</v>
      </c>
      <c r="M8" t="s">
        <v>273</v>
      </c>
      <c r="N8" t="s">
        <v>273</v>
      </c>
      <c r="O8">
        <v>37.07</v>
      </c>
      <c r="P8">
        <v>14.5</v>
      </c>
      <c r="Q8" t="s">
        <v>273</v>
      </c>
      <c r="R8" t="s">
        <v>273</v>
      </c>
      <c r="S8">
        <v>2.52</v>
      </c>
      <c r="T8">
        <v>0.51</v>
      </c>
      <c r="U8" t="s">
        <v>273</v>
      </c>
      <c r="V8" t="s">
        <v>273</v>
      </c>
      <c r="W8" t="s">
        <v>273</v>
      </c>
      <c r="X8" t="s">
        <v>273</v>
      </c>
      <c r="Y8" t="s">
        <v>302</v>
      </c>
      <c r="Z8" t="s">
        <v>736</v>
      </c>
      <c r="AA8" t="s">
        <v>273</v>
      </c>
      <c r="AB8" t="s">
        <v>273</v>
      </c>
      <c r="AC8" t="s">
        <v>527</v>
      </c>
      <c r="AD8" t="s">
        <v>1270</v>
      </c>
      <c r="AE8" t="s">
        <v>1275</v>
      </c>
      <c r="AF8" t="s">
        <v>272</v>
      </c>
      <c r="AG8" t="s">
        <v>924</v>
      </c>
      <c r="AH8" t="s">
        <v>1432</v>
      </c>
      <c r="AI8" t="s">
        <v>910</v>
      </c>
      <c r="AJ8">
        <v>2000</v>
      </c>
      <c r="AK8">
        <v>21</v>
      </c>
      <c r="AL8">
        <v>240</v>
      </c>
      <c r="AM8">
        <f t="shared" si="0"/>
        <v>8</v>
      </c>
      <c r="AN8" t="s">
        <v>265</v>
      </c>
      <c r="AO8">
        <v>3</v>
      </c>
      <c r="AP8" t="s">
        <v>271</v>
      </c>
      <c r="AQ8" t="s">
        <v>269</v>
      </c>
      <c r="AR8" t="s">
        <v>269</v>
      </c>
      <c r="AS8" t="s">
        <v>269</v>
      </c>
      <c r="AT8" t="s">
        <v>1444</v>
      </c>
      <c r="AU8" s="6" t="s">
        <v>1444</v>
      </c>
      <c r="AV8" t="s">
        <v>269</v>
      </c>
      <c r="AW8">
        <v>0.5</v>
      </c>
      <c r="AX8" t="s">
        <v>273</v>
      </c>
      <c r="AY8">
        <v>3</v>
      </c>
      <c r="AZ8">
        <v>3</v>
      </c>
      <c r="BA8" t="s">
        <v>273</v>
      </c>
      <c r="BB8" t="s">
        <v>273</v>
      </c>
      <c r="BC8" t="s">
        <v>273</v>
      </c>
      <c r="BD8" s="6" t="s">
        <v>266</v>
      </c>
      <c r="BE8" s="8" t="s">
        <v>1464</v>
      </c>
      <c r="BF8" t="s">
        <v>273</v>
      </c>
      <c r="BG8">
        <v>0.1</v>
      </c>
      <c r="BH8" t="s">
        <v>273</v>
      </c>
      <c r="BI8" t="s">
        <v>273</v>
      </c>
      <c r="BJ8" t="s">
        <v>273</v>
      </c>
      <c r="BK8" t="s">
        <v>1073</v>
      </c>
      <c r="BL8">
        <v>7</v>
      </c>
      <c r="BM8">
        <v>22</v>
      </c>
      <c r="BN8" t="s">
        <v>1539</v>
      </c>
      <c r="BO8" s="3" t="s">
        <v>687</v>
      </c>
      <c r="BP8" s="3" t="s">
        <v>243</v>
      </c>
      <c r="BQ8">
        <v>60</v>
      </c>
      <c r="BR8">
        <v>2</v>
      </c>
      <c r="BS8" s="3" t="s">
        <v>1130</v>
      </c>
      <c r="BT8">
        <v>5</v>
      </c>
      <c r="BU8" t="s">
        <v>389</v>
      </c>
      <c r="BV8" s="3" t="s">
        <v>1468</v>
      </c>
      <c r="BW8" t="s">
        <v>273</v>
      </c>
      <c r="BX8" t="s">
        <v>285</v>
      </c>
      <c r="BY8" t="s">
        <v>736</v>
      </c>
      <c r="BZ8" t="s">
        <v>1482</v>
      </c>
      <c r="CA8" t="s">
        <v>1182</v>
      </c>
      <c r="CB8" t="s">
        <v>1211</v>
      </c>
      <c r="CC8" t="s">
        <v>1220</v>
      </c>
      <c r="CD8" t="s">
        <v>1211</v>
      </c>
      <c r="CE8" t="s">
        <v>1211</v>
      </c>
      <c r="CF8" t="s">
        <v>1245</v>
      </c>
      <c r="CG8" t="s">
        <v>1149</v>
      </c>
    </row>
    <row r="9" spans="1:85">
      <c r="A9" s="27" t="s">
        <v>75</v>
      </c>
      <c r="B9" t="s">
        <v>1324</v>
      </c>
      <c r="C9">
        <v>2023</v>
      </c>
      <c r="D9" s="3" t="s">
        <v>1361</v>
      </c>
      <c r="E9" t="s">
        <v>78</v>
      </c>
      <c r="F9">
        <v>34</v>
      </c>
      <c r="G9" t="s">
        <v>273</v>
      </c>
      <c r="H9" t="s">
        <v>273</v>
      </c>
      <c r="I9">
        <v>60.53</v>
      </c>
      <c r="J9">
        <v>7.99</v>
      </c>
      <c r="K9">
        <v>17.41</v>
      </c>
      <c r="L9">
        <v>12.84</v>
      </c>
      <c r="M9" t="s">
        <v>273</v>
      </c>
      <c r="N9" t="s">
        <v>273</v>
      </c>
      <c r="O9">
        <v>31.15</v>
      </c>
      <c r="P9">
        <v>15.86</v>
      </c>
      <c r="Q9" t="s">
        <v>273</v>
      </c>
      <c r="R9" t="s">
        <v>273</v>
      </c>
      <c r="S9">
        <v>2.34</v>
      </c>
      <c r="T9">
        <v>0.56000000000000005</v>
      </c>
      <c r="U9" t="s">
        <v>273</v>
      </c>
      <c r="V9" t="s">
        <v>273</v>
      </c>
      <c r="W9" t="s">
        <v>273</v>
      </c>
      <c r="X9" t="s">
        <v>273</v>
      </c>
      <c r="Y9" t="s">
        <v>302</v>
      </c>
      <c r="Z9" t="s">
        <v>736</v>
      </c>
      <c r="AA9" t="s">
        <v>273</v>
      </c>
      <c r="AB9" t="s">
        <v>273</v>
      </c>
      <c r="AC9" t="s">
        <v>527</v>
      </c>
      <c r="AD9" t="s">
        <v>1270</v>
      </c>
      <c r="AE9" t="s">
        <v>1275</v>
      </c>
      <c r="AF9" t="s">
        <v>272</v>
      </c>
      <c r="AG9" t="s">
        <v>924</v>
      </c>
      <c r="AH9" t="s">
        <v>1432</v>
      </c>
      <c r="AI9" t="s">
        <v>910</v>
      </c>
      <c r="AJ9">
        <v>2000</v>
      </c>
      <c r="AK9">
        <v>21</v>
      </c>
      <c r="AL9">
        <v>240</v>
      </c>
      <c r="AM9">
        <f t="shared" si="0"/>
        <v>8</v>
      </c>
      <c r="AN9" t="s">
        <v>265</v>
      </c>
      <c r="AO9">
        <v>3</v>
      </c>
      <c r="AP9" t="s">
        <v>271</v>
      </c>
      <c r="AQ9" t="s">
        <v>269</v>
      </c>
      <c r="AR9" t="s">
        <v>269</v>
      </c>
      <c r="AS9" t="s">
        <v>269</v>
      </c>
      <c r="AT9" t="s">
        <v>1444</v>
      </c>
      <c r="AU9" s="6" t="s">
        <v>1444</v>
      </c>
      <c r="AV9" t="s">
        <v>269</v>
      </c>
      <c r="AW9">
        <v>0.5</v>
      </c>
      <c r="AX9" t="s">
        <v>273</v>
      </c>
      <c r="AY9">
        <v>3</v>
      </c>
      <c r="AZ9">
        <v>3</v>
      </c>
      <c r="BA9" t="s">
        <v>273</v>
      </c>
      <c r="BB9" t="s">
        <v>273</v>
      </c>
      <c r="BC9" t="s">
        <v>273</v>
      </c>
      <c r="BD9" s="6" t="s">
        <v>266</v>
      </c>
      <c r="BE9" s="8" t="s">
        <v>1464</v>
      </c>
      <c r="BF9" t="s">
        <v>273</v>
      </c>
      <c r="BG9">
        <v>0.1</v>
      </c>
      <c r="BH9" t="s">
        <v>273</v>
      </c>
      <c r="BI9" t="s">
        <v>273</v>
      </c>
      <c r="BJ9" t="s">
        <v>273</v>
      </c>
      <c r="BK9" t="s">
        <v>1073</v>
      </c>
      <c r="BL9">
        <v>7</v>
      </c>
      <c r="BM9">
        <v>22</v>
      </c>
      <c r="BN9" t="s">
        <v>1539</v>
      </c>
      <c r="BO9" s="3" t="s">
        <v>687</v>
      </c>
      <c r="BP9" s="3" t="s">
        <v>243</v>
      </c>
      <c r="BQ9">
        <v>60</v>
      </c>
      <c r="BR9">
        <v>2</v>
      </c>
      <c r="BS9" s="3" t="s">
        <v>1130</v>
      </c>
      <c r="BT9">
        <v>5</v>
      </c>
      <c r="BU9" t="s">
        <v>389</v>
      </c>
      <c r="BV9" s="3" t="s">
        <v>1468</v>
      </c>
      <c r="BW9" t="s">
        <v>273</v>
      </c>
      <c r="BX9" t="s">
        <v>285</v>
      </c>
      <c r="BY9" t="s">
        <v>736</v>
      </c>
      <c r="BZ9" t="s">
        <v>1482</v>
      </c>
      <c r="CA9" t="s">
        <v>1182</v>
      </c>
      <c r="CB9" t="s">
        <v>1211</v>
      </c>
      <c r="CC9" t="s">
        <v>1220</v>
      </c>
      <c r="CD9" t="s">
        <v>1211</v>
      </c>
      <c r="CE9" t="s">
        <v>1211</v>
      </c>
      <c r="CF9" t="s">
        <v>1245</v>
      </c>
      <c r="CG9" t="s">
        <v>1149</v>
      </c>
    </row>
    <row r="10" spans="1:85">
      <c r="A10" s="3" t="s">
        <v>79</v>
      </c>
      <c r="B10" s="3" t="s">
        <v>1325</v>
      </c>
      <c r="C10" s="3">
        <v>2021</v>
      </c>
      <c r="D10" s="3" t="s">
        <v>1362</v>
      </c>
      <c r="E10" s="3" t="s">
        <v>82</v>
      </c>
      <c r="F10" s="3">
        <v>21</v>
      </c>
      <c r="G10" s="3" t="s">
        <v>273</v>
      </c>
      <c r="H10" s="3" t="s">
        <v>273</v>
      </c>
      <c r="I10" s="3">
        <v>59.33</v>
      </c>
      <c r="J10" s="3">
        <v>5.73</v>
      </c>
      <c r="K10" s="3" t="s">
        <v>273</v>
      </c>
      <c r="L10" s="3" t="s">
        <v>273</v>
      </c>
      <c r="M10" s="3" t="s">
        <v>273</v>
      </c>
      <c r="N10" s="3" t="s">
        <v>273</v>
      </c>
      <c r="O10" s="3">
        <v>28.57</v>
      </c>
      <c r="P10" s="3">
        <v>8.9700000000000006</v>
      </c>
      <c r="Q10" s="3" t="s">
        <v>273</v>
      </c>
      <c r="R10" s="3" t="s">
        <v>273</v>
      </c>
      <c r="S10" s="3" t="s">
        <v>273</v>
      </c>
      <c r="T10" s="3" t="s">
        <v>273</v>
      </c>
      <c r="U10" s="3">
        <v>2</v>
      </c>
      <c r="V10" s="3" t="s">
        <v>1521</v>
      </c>
      <c r="W10" s="3" t="s">
        <v>273</v>
      </c>
      <c r="X10" s="3" t="s">
        <v>273</v>
      </c>
      <c r="Y10" s="3" t="s">
        <v>289</v>
      </c>
      <c r="Z10" s="3">
        <v>43</v>
      </c>
      <c r="AA10" s="3">
        <v>59.44</v>
      </c>
      <c r="AB10" s="28">
        <v>5.86</v>
      </c>
      <c r="AC10" s="3" t="s">
        <v>331</v>
      </c>
      <c r="AD10" s="3" t="s">
        <v>1274</v>
      </c>
      <c r="AE10" s="3" t="s">
        <v>1276</v>
      </c>
      <c r="AF10" s="3" t="s">
        <v>272</v>
      </c>
      <c r="AG10" s="3" t="s">
        <v>924</v>
      </c>
      <c r="AH10" s="3" t="s">
        <v>1432</v>
      </c>
      <c r="AI10" s="3" t="s">
        <v>910</v>
      </c>
      <c r="AJ10" s="3">
        <v>2000</v>
      </c>
      <c r="AK10" s="3">
        <v>30</v>
      </c>
      <c r="AL10" s="3">
        <v>240</v>
      </c>
      <c r="AM10" s="3">
        <f t="shared" si="0"/>
        <v>8</v>
      </c>
      <c r="AN10" s="3" t="s">
        <v>263</v>
      </c>
      <c r="AO10" s="3">
        <v>3</v>
      </c>
      <c r="AP10" s="3" t="s">
        <v>1445</v>
      </c>
      <c r="AQ10" s="3" t="s">
        <v>269</v>
      </c>
      <c r="AR10" s="3" t="s">
        <v>269</v>
      </c>
      <c r="AS10" s="3" t="s">
        <v>269</v>
      </c>
      <c r="AT10" s="3" t="s">
        <v>1444</v>
      </c>
      <c r="AU10" s="3" t="s">
        <v>1444</v>
      </c>
      <c r="AV10" s="3" t="s">
        <v>269</v>
      </c>
      <c r="AW10" s="3">
        <v>0.5</v>
      </c>
      <c r="AX10" s="3" t="s">
        <v>273</v>
      </c>
      <c r="AY10" s="3">
        <v>3</v>
      </c>
      <c r="AZ10" s="3">
        <v>3</v>
      </c>
      <c r="BA10" s="3" t="s">
        <v>273</v>
      </c>
      <c r="BB10" s="8" t="s">
        <v>1663</v>
      </c>
      <c r="BC10" t="s">
        <v>273</v>
      </c>
      <c r="BD10" s="3" t="s">
        <v>266</v>
      </c>
      <c r="BE10" s="3" t="s">
        <v>1465</v>
      </c>
      <c r="BF10" s="3" t="s">
        <v>273</v>
      </c>
      <c r="BG10" s="3">
        <v>0.15</v>
      </c>
      <c r="BH10" s="3" t="s">
        <v>273</v>
      </c>
      <c r="BI10" s="3" t="s">
        <v>273</v>
      </c>
      <c r="BJ10" s="3" t="s">
        <v>273</v>
      </c>
      <c r="BK10" t="s">
        <v>1073</v>
      </c>
      <c r="BL10">
        <v>6</v>
      </c>
      <c r="BM10" s="8">
        <v>37</v>
      </c>
      <c r="BN10" t="s">
        <v>1540</v>
      </c>
      <c r="BO10" s="3" t="s">
        <v>687</v>
      </c>
      <c r="BP10" s="3" t="s">
        <v>243</v>
      </c>
      <c r="BQ10" s="3">
        <v>44</v>
      </c>
      <c r="BR10" s="3">
        <v>2</v>
      </c>
      <c r="BS10" s="3" t="s">
        <v>1130</v>
      </c>
      <c r="BT10" s="3">
        <v>4</v>
      </c>
      <c r="BU10" s="3" t="s">
        <v>389</v>
      </c>
      <c r="BV10" s="3" t="s">
        <v>1468</v>
      </c>
      <c r="BW10" s="3" t="s">
        <v>1470</v>
      </c>
      <c r="BX10" s="3" t="s">
        <v>285</v>
      </c>
      <c r="BY10" t="s">
        <v>736</v>
      </c>
      <c r="BZ10" t="s">
        <v>1483</v>
      </c>
      <c r="CA10" t="s">
        <v>1183</v>
      </c>
      <c r="CB10" t="s">
        <v>1211</v>
      </c>
      <c r="CC10" t="s">
        <v>1222</v>
      </c>
      <c r="CD10" t="s">
        <v>1211</v>
      </c>
      <c r="CE10" t="s">
        <v>1211</v>
      </c>
      <c r="CF10" t="s">
        <v>1509</v>
      </c>
      <c r="CG10" t="s">
        <v>1150</v>
      </c>
    </row>
    <row r="11" spans="1:85">
      <c r="A11" s="3" t="s">
        <v>79</v>
      </c>
      <c r="B11" s="3" t="s">
        <v>1325</v>
      </c>
      <c r="C11" s="3">
        <v>2021</v>
      </c>
      <c r="D11" t="s">
        <v>1362</v>
      </c>
      <c r="E11" s="3" t="s">
        <v>82</v>
      </c>
      <c r="F11" s="3">
        <v>34</v>
      </c>
      <c r="G11" s="3" t="s">
        <v>273</v>
      </c>
      <c r="H11" s="3" t="s">
        <v>273</v>
      </c>
      <c r="I11" s="3">
        <v>59.79</v>
      </c>
      <c r="J11" s="3">
        <v>8.4</v>
      </c>
      <c r="K11" s="3" t="s">
        <v>273</v>
      </c>
      <c r="L11" s="3" t="s">
        <v>273</v>
      </c>
      <c r="M11" s="3" t="s">
        <v>273</v>
      </c>
      <c r="N11" s="3" t="s">
        <v>273</v>
      </c>
      <c r="O11" s="3">
        <v>24.56</v>
      </c>
      <c r="P11" s="3">
        <v>8.2799999999999994</v>
      </c>
      <c r="Q11" s="3" t="s">
        <v>273</v>
      </c>
      <c r="R11" s="3" t="s">
        <v>273</v>
      </c>
      <c r="S11" s="3" t="s">
        <v>273</v>
      </c>
      <c r="T11" s="3" t="s">
        <v>273</v>
      </c>
      <c r="U11" s="3">
        <v>1.5</v>
      </c>
      <c r="V11" s="3" t="s">
        <v>1521</v>
      </c>
      <c r="W11" s="3" t="s">
        <v>273</v>
      </c>
      <c r="X11" s="3" t="s">
        <v>273</v>
      </c>
      <c r="Y11" s="3" t="s">
        <v>289</v>
      </c>
      <c r="Z11" s="3">
        <v>43</v>
      </c>
      <c r="AA11" s="3">
        <v>59.44</v>
      </c>
      <c r="AB11" s="28">
        <v>5.86</v>
      </c>
      <c r="AC11" s="3" t="s">
        <v>331</v>
      </c>
      <c r="AD11" s="3" t="s">
        <v>1274</v>
      </c>
      <c r="AE11" s="3" t="s">
        <v>1276</v>
      </c>
      <c r="AF11" s="3" t="s">
        <v>272</v>
      </c>
      <c r="AG11" s="3" t="s">
        <v>924</v>
      </c>
      <c r="AH11" s="3" t="s">
        <v>1432</v>
      </c>
      <c r="AI11" s="3" t="s">
        <v>910</v>
      </c>
      <c r="AJ11" s="3">
        <v>2000</v>
      </c>
      <c r="AK11" s="3">
        <v>30</v>
      </c>
      <c r="AL11" s="3">
        <v>240</v>
      </c>
      <c r="AM11" s="3">
        <f t="shared" si="0"/>
        <v>8</v>
      </c>
      <c r="AN11" s="3" t="s">
        <v>263</v>
      </c>
      <c r="AO11" s="3">
        <v>3</v>
      </c>
      <c r="AP11" s="3" t="s">
        <v>1445</v>
      </c>
      <c r="AQ11" s="3" t="s">
        <v>269</v>
      </c>
      <c r="AR11" s="3" t="s">
        <v>269</v>
      </c>
      <c r="AS11" s="3" t="s">
        <v>269</v>
      </c>
      <c r="AT11" s="3" t="s">
        <v>1444</v>
      </c>
      <c r="AU11" s="3" t="s">
        <v>1444</v>
      </c>
      <c r="AV11" s="3" t="s">
        <v>269</v>
      </c>
      <c r="AW11" s="3">
        <v>0.5</v>
      </c>
      <c r="AX11" s="3" t="s">
        <v>273</v>
      </c>
      <c r="AY11" s="3">
        <v>3</v>
      </c>
      <c r="AZ11" s="3">
        <v>3</v>
      </c>
      <c r="BA11" s="3" t="s">
        <v>273</v>
      </c>
      <c r="BB11" s="8" t="s">
        <v>1663</v>
      </c>
      <c r="BC11" t="s">
        <v>273</v>
      </c>
      <c r="BD11" s="3" t="s">
        <v>266</v>
      </c>
      <c r="BE11" s="3" t="s">
        <v>1465</v>
      </c>
      <c r="BF11" s="3" t="s">
        <v>273</v>
      </c>
      <c r="BG11" s="3">
        <v>0.15</v>
      </c>
      <c r="BH11" s="3" t="s">
        <v>273</v>
      </c>
      <c r="BI11" s="3" t="s">
        <v>273</v>
      </c>
      <c r="BJ11" s="3" t="s">
        <v>273</v>
      </c>
      <c r="BK11" t="s">
        <v>1073</v>
      </c>
      <c r="BL11">
        <v>6</v>
      </c>
      <c r="BM11" s="8">
        <v>37</v>
      </c>
      <c r="BN11" t="s">
        <v>1540</v>
      </c>
      <c r="BO11" s="3" t="s">
        <v>687</v>
      </c>
      <c r="BP11" s="3" t="s">
        <v>243</v>
      </c>
      <c r="BQ11" s="3">
        <v>44</v>
      </c>
      <c r="BR11" s="3">
        <v>2</v>
      </c>
      <c r="BS11" s="3" t="s">
        <v>1130</v>
      </c>
      <c r="BT11" s="3">
        <v>4</v>
      </c>
      <c r="BU11" s="3" t="s">
        <v>389</v>
      </c>
      <c r="BV11" s="3" t="s">
        <v>1468</v>
      </c>
      <c r="BW11" s="3" t="s">
        <v>1470</v>
      </c>
      <c r="BX11" s="3" t="s">
        <v>285</v>
      </c>
      <c r="BY11" t="s">
        <v>736</v>
      </c>
      <c r="BZ11" t="s">
        <v>1483</v>
      </c>
      <c r="CA11" t="s">
        <v>1183</v>
      </c>
      <c r="CB11" t="s">
        <v>1211</v>
      </c>
      <c r="CC11" t="s">
        <v>1222</v>
      </c>
      <c r="CD11" t="s">
        <v>1211</v>
      </c>
      <c r="CE11" t="s">
        <v>1211</v>
      </c>
      <c r="CF11" t="s">
        <v>1509</v>
      </c>
      <c r="CG11" t="s">
        <v>1150</v>
      </c>
    </row>
    <row r="12" spans="1:85">
      <c r="A12" s="27" t="s">
        <v>83</v>
      </c>
      <c r="B12" t="s">
        <v>1326</v>
      </c>
      <c r="C12">
        <v>2018</v>
      </c>
      <c r="D12" s="3" t="s">
        <v>1362</v>
      </c>
      <c r="E12" t="s">
        <v>86</v>
      </c>
      <c r="F12">
        <v>24</v>
      </c>
      <c r="G12" t="s">
        <v>273</v>
      </c>
      <c r="H12" t="s">
        <v>273</v>
      </c>
      <c r="I12">
        <v>63.42</v>
      </c>
      <c r="J12">
        <v>7.93</v>
      </c>
      <c r="K12" t="s">
        <v>273</v>
      </c>
      <c r="L12" t="s">
        <v>273</v>
      </c>
      <c r="M12" t="s">
        <v>273</v>
      </c>
      <c r="N12" t="s">
        <v>273</v>
      </c>
      <c r="O12">
        <v>21.08</v>
      </c>
      <c r="P12">
        <v>8.31</v>
      </c>
      <c r="Q12" t="s">
        <v>273</v>
      </c>
      <c r="R12" t="s">
        <v>273</v>
      </c>
      <c r="S12" t="s">
        <v>273</v>
      </c>
      <c r="T12" t="s">
        <v>273</v>
      </c>
      <c r="U12" t="s">
        <v>273</v>
      </c>
      <c r="V12" t="s">
        <v>273</v>
      </c>
      <c r="W12" t="s">
        <v>273</v>
      </c>
      <c r="X12" t="s">
        <v>273</v>
      </c>
      <c r="Y12" t="s">
        <v>289</v>
      </c>
      <c r="Z12">
        <v>27</v>
      </c>
      <c r="AA12">
        <v>59.37</v>
      </c>
      <c r="AB12">
        <v>8.5399999999999991</v>
      </c>
      <c r="AC12" t="s">
        <v>331</v>
      </c>
      <c r="AD12" t="s">
        <v>1271</v>
      </c>
      <c r="AE12" t="s">
        <v>1272</v>
      </c>
      <c r="AF12" t="s">
        <v>272</v>
      </c>
      <c r="AG12" t="s">
        <v>1411</v>
      </c>
      <c r="AH12" t="s">
        <v>1432</v>
      </c>
      <c r="AI12" t="s">
        <v>910</v>
      </c>
      <c r="AJ12">
        <v>2150</v>
      </c>
      <c r="AK12">
        <v>35</v>
      </c>
      <c r="AL12">
        <v>202</v>
      </c>
      <c r="AM12">
        <f t="shared" si="0"/>
        <v>7.2383333333333333</v>
      </c>
      <c r="AN12" t="s">
        <v>291</v>
      </c>
      <c r="AO12">
        <v>3</v>
      </c>
      <c r="AP12" t="s">
        <v>1445</v>
      </c>
      <c r="AQ12" t="s">
        <v>269</v>
      </c>
      <c r="AR12" t="s">
        <v>269</v>
      </c>
      <c r="AS12" t="s">
        <v>269</v>
      </c>
      <c r="AT12" t="s">
        <v>269</v>
      </c>
      <c r="AU12" t="s">
        <v>269</v>
      </c>
      <c r="AV12" t="s">
        <v>1444</v>
      </c>
      <c r="AW12" t="s">
        <v>273</v>
      </c>
      <c r="AX12">
        <v>1.5</v>
      </c>
      <c r="AY12" t="s">
        <v>273</v>
      </c>
      <c r="AZ12" t="s">
        <v>273</v>
      </c>
      <c r="BA12" t="s">
        <v>273</v>
      </c>
      <c r="BB12" t="s">
        <v>1452</v>
      </c>
      <c r="BC12" t="s">
        <v>273</v>
      </c>
      <c r="BD12" t="s">
        <v>276</v>
      </c>
      <c r="BE12" t="s">
        <v>1466</v>
      </c>
      <c r="BF12">
        <v>0.01</v>
      </c>
      <c r="BG12" t="s">
        <v>273</v>
      </c>
      <c r="BH12" t="s">
        <v>273</v>
      </c>
      <c r="BI12" t="s">
        <v>273</v>
      </c>
      <c r="BJ12" t="s">
        <v>273</v>
      </c>
      <c r="BK12" t="s">
        <v>1073</v>
      </c>
      <c r="BL12">
        <v>2</v>
      </c>
      <c r="BM12">
        <v>264</v>
      </c>
      <c r="BN12" t="s">
        <v>1541</v>
      </c>
      <c r="BO12" s="3" t="s">
        <v>1116</v>
      </c>
      <c r="BP12" s="3" t="s">
        <v>243</v>
      </c>
      <c r="BQ12">
        <v>60.2</v>
      </c>
      <c r="BR12">
        <v>10.75</v>
      </c>
      <c r="BS12" t="s">
        <v>910</v>
      </c>
      <c r="BT12" t="s">
        <v>324</v>
      </c>
      <c r="BU12" t="s">
        <v>910</v>
      </c>
      <c r="BV12" s="3" t="s">
        <v>1468</v>
      </c>
      <c r="BW12" t="s">
        <v>273</v>
      </c>
      <c r="BX12" t="s">
        <v>285</v>
      </c>
      <c r="BY12" t="s">
        <v>736</v>
      </c>
      <c r="BZ12" t="s">
        <v>1177</v>
      </c>
      <c r="CA12" t="s">
        <v>1522</v>
      </c>
      <c r="CB12" t="s">
        <v>1211</v>
      </c>
      <c r="CC12" t="s">
        <v>1222</v>
      </c>
      <c r="CD12" t="s">
        <v>1211</v>
      </c>
      <c r="CE12" t="s">
        <v>1211</v>
      </c>
      <c r="CF12" t="s">
        <v>1246</v>
      </c>
      <c r="CG12" t="s">
        <v>1151</v>
      </c>
    </row>
    <row r="13" spans="1:85">
      <c r="A13" s="3" t="s">
        <v>87</v>
      </c>
      <c r="B13" s="3" t="s">
        <v>1327</v>
      </c>
      <c r="C13" s="3">
        <v>2021</v>
      </c>
      <c r="D13" s="3" t="s">
        <v>1363</v>
      </c>
      <c r="E13" s="3" t="s">
        <v>90</v>
      </c>
      <c r="F13" s="3">
        <v>45</v>
      </c>
      <c r="G13" s="3" t="s">
        <v>273</v>
      </c>
      <c r="H13" s="3" t="s">
        <v>273</v>
      </c>
      <c r="I13" s="3">
        <v>64.400000000000006</v>
      </c>
      <c r="J13" s="3">
        <v>8.5</v>
      </c>
      <c r="K13" s="3" t="s">
        <v>273</v>
      </c>
      <c r="L13" s="3" t="s">
        <v>273</v>
      </c>
      <c r="M13" s="3" t="s">
        <v>273</v>
      </c>
      <c r="N13" s="3" t="s">
        <v>273</v>
      </c>
      <c r="O13" s="3">
        <v>26</v>
      </c>
      <c r="P13" s="3">
        <v>19</v>
      </c>
      <c r="Q13" s="3" t="s">
        <v>273</v>
      </c>
      <c r="R13" s="3" t="s">
        <v>273</v>
      </c>
      <c r="S13" s="3" t="s">
        <v>273</v>
      </c>
      <c r="T13" s="3" t="s">
        <v>273</v>
      </c>
      <c r="U13" s="3">
        <v>2</v>
      </c>
      <c r="V13" s="3">
        <v>0.75</v>
      </c>
      <c r="W13" s="3" t="s">
        <v>273</v>
      </c>
      <c r="X13" s="3" t="s">
        <v>273</v>
      </c>
      <c r="Y13" s="3" t="s">
        <v>289</v>
      </c>
      <c r="Z13" s="3">
        <v>37</v>
      </c>
      <c r="AA13" s="3">
        <v>61.9</v>
      </c>
      <c r="AB13" s="3">
        <v>5.6</v>
      </c>
      <c r="AC13" s="3" t="s">
        <v>331</v>
      </c>
      <c r="AD13" s="3" t="s">
        <v>1274</v>
      </c>
      <c r="AE13" s="3" t="s">
        <v>1108</v>
      </c>
      <c r="AF13" s="3" t="s">
        <v>272</v>
      </c>
      <c r="AG13" s="3" t="s">
        <v>924</v>
      </c>
      <c r="AH13" s="3" t="s">
        <v>1432</v>
      </c>
      <c r="AI13" s="3" t="s">
        <v>910</v>
      </c>
      <c r="AJ13" s="3">
        <v>2000</v>
      </c>
      <c r="AK13" s="3">
        <v>21</v>
      </c>
      <c r="AL13" s="3">
        <v>240</v>
      </c>
      <c r="AM13" s="3">
        <f t="shared" si="0"/>
        <v>8</v>
      </c>
      <c r="AN13" s="3" t="s">
        <v>263</v>
      </c>
      <c r="AO13" s="3">
        <v>3</v>
      </c>
      <c r="AP13" s="3" t="s">
        <v>273</v>
      </c>
      <c r="AQ13" s="3" t="s">
        <v>269</v>
      </c>
      <c r="AR13" s="3" t="s">
        <v>269</v>
      </c>
      <c r="AS13" s="3" t="s">
        <v>269</v>
      </c>
      <c r="AT13" s="8" t="s">
        <v>1444</v>
      </c>
      <c r="AU13" s="8" t="s">
        <v>1444</v>
      </c>
      <c r="AV13" s="3" t="s">
        <v>269</v>
      </c>
      <c r="AW13" s="3" t="s">
        <v>273</v>
      </c>
      <c r="AX13" s="3" t="s">
        <v>273</v>
      </c>
      <c r="AY13" s="3" t="s">
        <v>273</v>
      </c>
      <c r="AZ13" s="3" t="s">
        <v>273</v>
      </c>
      <c r="BA13" s="3" t="s">
        <v>273</v>
      </c>
      <c r="BB13" s="3" t="s">
        <v>1453</v>
      </c>
      <c r="BC13" t="s">
        <v>273</v>
      </c>
      <c r="BD13" s="3" t="s">
        <v>266</v>
      </c>
      <c r="BE13" s="3" t="s">
        <v>1465</v>
      </c>
      <c r="BF13" s="3" t="s">
        <v>273</v>
      </c>
      <c r="BG13" s="3">
        <v>0.1</v>
      </c>
      <c r="BH13" s="3" t="s">
        <v>273</v>
      </c>
      <c r="BI13" s="3" t="s">
        <v>273</v>
      </c>
      <c r="BJ13" s="3" t="s">
        <v>273</v>
      </c>
      <c r="BK13" t="s">
        <v>1073</v>
      </c>
      <c r="BL13">
        <v>8</v>
      </c>
      <c r="BM13" s="3">
        <v>24</v>
      </c>
      <c r="BN13" t="s">
        <v>1542</v>
      </c>
      <c r="BO13" s="3" t="s">
        <v>687</v>
      </c>
      <c r="BP13" s="3" t="s">
        <v>243</v>
      </c>
      <c r="BQ13" s="3">
        <v>40</v>
      </c>
      <c r="BR13" s="3">
        <v>2</v>
      </c>
      <c r="BS13" s="3" t="s">
        <v>1130</v>
      </c>
      <c r="BT13" s="3">
        <v>4</v>
      </c>
      <c r="BU13" s="3" t="s">
        <v>389</v>
      </c>
      <c r="BV13" s="3" t="s">
        <v>1468</v>
      </c>
      <c r="BW13" t="s">
        <v>273</v>
      </c>
      <c r="BX13" s="3" t="s">
        <v>336</v>
      </c>
      <c r="BY13" t="s">
        <v>736</v>
      </c>
      <c r="BZ13" t="s">
        <v>1484</v>
      </c>
      <c r="CA13" t="s">
        <v>1184</v>
      </c>
      <c r="CB13" t="s">
        <v>1185</v>
      </c>
      <c r="CC13" t="s">
        <v>1218</v>
      </c>
      <c r="CD13" t="s">
        <v>1211</v>
      </c>
      <c r="CE13" t="s">
        <v>1211</v>
      </c>
      <c r="CF13" t="s">
        <v>1510</v>
      </c>
      <c r="CG13" t="s">
        <v>1152</v>
      </c>
    </row>
    <row r="14" spans="1:85">
      <c r="A14" s="3" t="s">
        <v>87</v>
      </c>
      <c r="B14" s="3" t="s">
        <v>1327</v>
      </c>
      <c r="C14" s="3">
        <v>2021</v>
      </c>
      <c r="D14" t="s">
        <v>1363</v>
      </c>
      <c r="E14" s="3" t="s">
        <v>90</v>
      </c>
      <c r="F14" s="3">
        <v>81</v>
      </c>
      <c r="G14" s="3" t="s">
        <v>273</v>
      </c>
      <c r="H14" s="3" t="s">
        <v>273</v>
      </c>
      <c r="I14" s="3">
        <v>60.9</v>
      </c>
      <c r="J14" s="3">
        <v>9</v>
      </c>
      <c r="K14" s="3" t="s">
        <v>273</v>
      </c>
      <c r="L14" s="3" t="s">
        <v>273</v>
      </c>
      <c r="M14" s="3" t="s">
        <v>273</v>
      </c>
      <c r="N14" s="3" t="s">
        <v>273</v>
      </c>
      <c r="O14" s="3">
        <v>27</v>
      </c>
      <c r="P14" s="3">
        <v>20.5</v>
      </c>
      <c r="Q14" s="3" t="s">
        <v>273</v>
      </c>
      <c r="R14" s="3" t="s">
        <v>273</v>
      </c>
      <c r="S14" s="3" t="s">
        <v>273</v>
      </c>
      <c r="T14" s="3" t="s">
        <v>273</v>
      </c>
      <c r="U14" s="3">
        <v>2</v>
      </c>
      <c r="V14" s="3">
        <v>1</v>
      </c>
      <c r="W14" s="3" t="s">
        <v>273</v>
      </c>
      <c r="X14" s="3" t="s">
        <v>273</v>
      </c>
      <c r="Y14" s="3" t="s">
        <v>289</v>
      </c>
      <c r="Z14" s="3">
        <v>37</v>
      </c>
      <c r="AA14" s="3">
        <v>61.9</v>
      </c>
      <c r="AB14" s="3">
        <v>5.6</v>
      </c>
      <c r="AC14" s="3" t="s">
        <v>331</v>
      </c>
      <c r="AD14" s="3" t="s">
        <v>1274</v>
      </c>
      <c r="AE14" s="3" t="s">
        <v>1108</v>
      </c>
      <c r="AF14" s="3" t="s">
        <v>272</v>
      </c>
      <c r="AG14" s="3" t="s">
        <v>924</v>
      </c>
      <c r="AH14" s="3" t="s">
        <v>1432</v>
      </c>
      <c r="AI14" s="3" t="s">
        <v>910</v>
      </c>
      <c r="AJ14" s="3">
        <v>2000</v>
      </c>
      <c r="AK14" s="3">
        <v>21</v>
      </c>
      <c r="AL14" s="3">
        <v>240</v>
      </c>
      <c r="AM14" s="3">
        <f t="shared" si="0"/>
        <v>8</v>
      </c>
      <c r="AN14" s="3" t="s">
        <v>263</v>
      </c>
      <c r="AO14" s="3">
        <v>3</v>
      </c>
      <c r="AP14" s="3" t="s">
        <v>273</v>
      </c>
      <c r="AQ14" s="3" t="s">
        <v>269</v>
      </c>
      <c r="AR14" s="3" t="s">
        <v>269</v>
      </c>
      <c r="AS14" s="3" t="s">
        <v>269</v>
      </c>
      <c r="AT14" s="8" t="s">
        <v>1444</v>
      </c>
      <c r="AU14" s="8" t="s">
        <v>1444</v>
      </c>
      <c r="AV14" s="3" t="s">
        <v>269</v>
      </c>
      <c r="AW14" s="3" t="s">
        <v>273</v>
      </c>
      <c r="AX14" s="3" t="s">
        <v>273</v>
      </c>
      <c r="AY14" s="3" t="s">
        <v>273</v>
      </c>
      <c r="AZ14" s="3" t="s">
        <v>273</v>
      </c>
      <c r="BA14" s="3" t="s">
        <v>273</v>
      </c>
      <c r="BB14" s="3" t="s">
        <v>1453</v>
      </c>
      <c r="BC14" t="s">
        <v>273</v>
      </c>
      <c r="BD14" s="3" t="s">
        <v>266</v>
      </c>
      <c r="BE14" s="3" t="s">
        <v>1465</v>
      </c>
      <c r="BF14" s="3" t="s">
        <v>273</v>
      </c>
      <c r="BG14" s="3">
        <v>0.1</v>
      </c>
      <c r="BH14" s="3" t="s">
        <v>273</v>
      </c>
      <c r="BI14" s="3" t="s">
        <v>273</v>
      </c>
      <c r="BJ14" s="3" t="s">
        <v>273</v>
      </c>
      <c r="BK14" t="s">
        <v>1073</v>
      </c>
      <c r="BL14">
        <v>8</v>
      </c>
      <c r="BM14" s="3">
        <v>24</v>
      </c>
      <c r="BN14" t="s">
        <v>1542</v>
      </c>
      <c r="BO14" s="3" t="s">
        <v>687</v>
      </c>
      <c r="BP14" s="3" t="s">
        <v>243</v>
      </c>
      <c r="BQ14" s="3">
        <v>40</v>
      </c>
      <c r="BR14" s="3">
        <v>2</v>
      </c>
      <c r="BS14" s="3" t="s">
        <v>1130</v>
      </c>
      <c r="BT14" s="3">
        <v>4</v>
      </c>
      <c r="BU14" s="3" t="s">
        <v>389</v>
      </c>
      <c r="BV14" s="3" t="s">
        <v>1468</v>
      </c>
      <c r="BW14" t="s">
        <v>273</v>
      </c>
      <c r="BX14" s="3" t="s">
        <v>336</v>
      </c>
      <c r="BY14" t="s">
        <v>736</v>
      </c>
      <c r="BZ14" t="s">
        <v>1484</v>
      </c>
      <c r="CA14" t="s">
        <v>1184</v>
      </c>
      <c r="CB14" t="s">
        <v>1185</v>
      </c>
      <c r="CC14" t="s">
        <v>1218</v>
      </c>
      <c r="CD14" t="s">
        <v>1211</v>
      </c>
      <c r="CE14" t="s">
        <v>1211</v>
      </c>
      <c r="CF14" t="s">
        <v>1510</v>
      </c>
      <c r="CG14" t="s">
        <v>1152</v>
      </c>
    </row>
    <row r="15" spans="1:85">
      <c r="A15" s="27" t="s">
        <v>91</v>
      </c>
      <c r="B15" t="s">
        <v>1328</v>
      </c>
      <c r="C15">
        <v>2023</v>
      </c>
      <c r="D15" t="s">
        <v>1362</v>
      </c>
      <c r="E15" t="s">
        <v>93</v>
      </c>
      <c r="F15">
        <v>16</v>
      </c>
      <c r="G15" s="10" t="s">
        <v>273</v>
      </c>
      <c r="H15" s="10" t="s">
        <v>273</v>
      </c>
      <c r="I15" s="26">
        <v>70.75</v>
      </c>
      <c r="J15" s="10" t="s">
        <v>273</v>
      </c>
      <c r="K15" s="10" t="s">
        <v>273</v>
      </c>
      <c r="L15" s="10" t="s">
        <v>273</v>
      </c>
      <c r="M15" s="10" t="s">
        <v>273</v>
      </c>
      <c r="N15" s="10" t="s">
        <v>273</v>
      </c>
      <c r="O15" s="10" t="s">
        <v>273</v>
      </c>
      <c r="P15" s="10" t="s">
        <v>273</v>
      </c>
      <c r="Q15" s="10">
        <v>24.5</v>
      </c>
      <c r="R15" s="10" t="s">
        <v>1404</v>
      </c>
      <c r="S15" s="10" t="s">
        <v>273</v>
      </c>
      <c r="T15" s="10" t="s">
        <v>273</v>
      </c>
      <c r="U15" s="10">
        <v>2</v>
      </c>
      <c r="V15" s="10" t="s">
        <v>1403</v>
      </c>
      <c r="W15" s="10" t="s">
        <v>273</v>
      </c>
      <c r="X15" s="10" t="s">
        <v>273</v>
      </c>
      <c r="Y15" t="s">
        <v>289</v>
      </c>
      <c r="Z15" t="s">
        <v>736</v>
      </c>
      <c r="AA15" t="s">
        <v>273</v>
      </c>
      <c r="AB15" t="s">
        <v>273</v>
      </c>
      <c r="AC15" t="s">
        <v>331</v>
      </c>
      <c r="AD15" t="s">
        <v>1274</v>
      </c>
      <c r="AE15" t="s">
        <v>1277</v>
      </c>
      <c r="AF15" t="s">
        <v>921</v>
      </c>
      <c r="AG15" t="s">
        <v>242</v>
      </c>
      <c r="AH15" t="s">
        <v>1432</v>
      </c>
      <c r="AI15" t="s">
        <v>910</v>
      </c>
      <c r="AJ15">
        <v>2500</v>
      </c>
      <c r="AK15">
        <v>30</v>
      </c>
      <c r="AL15">
        <v>240</v>
      </c>
      <c r="AM15">
        <f t="shared" si="0"/>
        <v>10</v>
      </c>
      <c r="AN15" t="s">
        <v>341</v>
      </c>
      <c r="AO15">
        <v>3</v>
      </c>
      <c r="AP15" t="s">
        <v>273</v>
      </c>
      <c r="AQ15" t="s">
        <v>269</v>
      </c>
      <c r="AR15" t="s">
        <v>269</v>
      </c>
      <c r="AS15" t="s">
        <v>269</v>
      </c>
      <c r="AT15" s="8" t="s">
        <v>1444</v>
      </c>
      <c r="AU15" t="s">
        <v>1444</v>
      </c>
      <c r="AV15" t="s">
        <v>269</v>
      </c>
      <c r="AW15">
        <v>0.5</v>
      </c>
      <c r="AX15" t="s">
        <v>273</v>
      </c>
      <c r="AY15">
        <v>3</v>
      </c>
      <c r="AZ15">
        <v>3</v>
      </c>
      <c r="BA15" t="s">
        <v>273</v>
      </c>
      <c r="BB15" t="s">
        <v>273</v>
      </c>
      <c r="BC15" t="s">
        <v>273</v>
      </c>
      <c r="BD15" t="s">
        <v>266</v>
      </c>
      <c r="BE15" t="s">
        <v>1465</v>
      </c>
      <c r="BF15" t="s">
        <v>273</v>
      </c>
      <c r="BG15">
        <v>0.15</v>
      </c>
      <c r="BH15" t="s">
        <v>273</v>
      </c>
      <c r="BI15" t="s">
        <v>273</v>
      </c>
      <c r="BJ15" t="s">
        <v>273</v>
      </c>
      <c r="BK15" t="s">
        <v>1073</v>
      </c>
      <c r="BL15">
        <v>7</v>
      </c>
      <c r="BM15">
        <v>27</v>
      </c>
      <c r="BN15" t="s">
        <v>1539</v>
      </c>
      <c r="BO15" s="3" t="s">
        <v>687</v>
      </c>
      <c r="BP15" s="3" t="s">
        <v>243</v>
      </c>
      <c r="BQ15">
        <v>45</v>
      </c>
      <c r="BR15">
        <v>2.5</v>
      </c>
      <c r="BS15" s="3" t="s">
        <v>1130</v>
      </c>
      <c r="BT15">
        <v>4</v>
      </c>
      <c r="BU15" t="s">
        <v>389</v>
      </c>
      <c r="BV15" s="3" t="s">
        <v>1468</v>
      </c>
      <c r="BW15" t="s">
        <v>273</v>
      </c>
      <c r="BX15" t="s">
        <v>346</v>
      </c>
      <c r="BY15" t="s">
        <v>736</v>
      </c>
      <c r="BZ15" t="s">
        <v>1485</v>
      </c>
      <c r="CA15" t="s">
        <v>1523</v>
      </c>
      <c r="CB15" t="s">
        <v>1211</v>
      </c>
      <c r="CC15" t="s">
        <v>1220</v>
      </c>
      <c r="CD15" t="s">
        <v>1211</v>
      </c>
      <c r="CE15" t="s">
        <v>1211</v>
      </c>
      <c r="CF15" t="s">
        <v>1247</v>
      </c>
      <c r="CG15" t="s">
        <v>1153</v>
      </c>
    </row>
    <row r="16" spans="1:85">
      <c r="A16" s="27" t="s">
        <v>91</v>
      </c>
      <c r="B16" t="s">
        <v>1328</v>
      </c>
      <c r="C16">
        <v>2023</v>
      </c>
      <c r="D16" s="3" t="s">
        <v>1362</v>
      </c>
      <c r="E16" t="s">
        <v>93</v>
      </c>
      <c r="F16">
        <v>41</v>
      </c>
      <c r="G16" s="10" t="s">
        <v>273</v>
      </c>
      <c r="H16" s="10" t="s">
        <v>273</v>
      </c>
      <c r="I16" s="26">
        <v>62</v>
      </c>
      <c r="J16" s="10" t="s">
        <v>273</v>
      </c>
      <c r="K16" s="10" t="s">
        <v>273</v>
      </c>
      <c r="L16" s="10" t="s">
        <v>273</v>
      </c>
      <c r="M16" s="10" t="s">
        <v>273</v>
      </c>
      <c r="N16" s="10" t="s">
        <v>273</v>
      </c>
      <c r="O16" s="10" t="s">
        <v>273</v>
      </c>
      <c r="P16" s="10" t="s">
        <v>273</v>
      </c>
      <c r="Q16" s="10">
        <v>19</v>
      </c>
      <c r="R16" s="10" t="s">
        <v>1405</v>
      </c>
      <c r="S16" s="10" t="s">
        <v>273</v>
      </c>
      <c r="T16" s="10" t="s">
        <v>273</v>
      </c>
      <c r="U16" s="10">
        <v>2</v>
      </c>
      <c r="V16" s="10" t="s">
        <v>1403</v>
      </c>
      <c r="W16" s="10" t="s">
        <v>273</v>
      </c>
      <c r="X16" s="10" t="s">
        <v>273</v>
      </c>
      <c r="Y16" t="s">
        <v>289</v>
      </c>
      <c r="Z16" t="s">
        <v>736</v>
      </c>
      <c r="AA16" t="s">
        <v>273</v>
      </c>
      <c r="AB16" t="s">
        <v>273</v>
      </c>
      <c r="AC16" t="s">
        <v>331</v>
      </c>
      <c r="AD16" t="s">
        <v>1274</v>
      </c>
      <c r="AE16" t="s">
        <v>1277</v>
      </c>
      <c r="AF16" t="s">
        <v>921</v>
      </c>
      <c r="AG16" t="s">
        <v>242</v>
      </c>
      <c r="AH16" t="s">
        <v>1432</v>
      </c>
      <c r="AI16" t="s">
        <v>910</v>
      </c>
      <c r="AJ16">
        <v>2500</v>
      </c>
      <c r="AK16">
        <v>30</v>
      </c>
      <c r="AL16">
        <v>240</v>
      </c>
      <c r="AM16">
        <f t="shared" si="0"/>
        <v>10</v>
      </c>
      <c r="AN16" t="s">
        <v>341</v>
      </c>
      <c r="AO16">
        <v>3</v>
      </c>
      <c r="AP16" t="s">
        <v>273</v>
      </c>
      <c r="AQ16" t="s">
        <v>269</v>
      </c>
      <c r="AR16" t="s">
        <v>269</v>
      </c>
      <c r="AS16" t="s">
        <v>269</v>
      </c>
      <c r="AT16" s="8" t="s">
        <v>1444</v>
      </c>
      <c r="AU16" t="s">
        <v>1444</v>
      </c>
      <c r="AV16" t="s">
        <v>269</v>
      </c>
      <c r="AW16">
        <v>0.5</v>
      </c>
      <c r="AX16" t="s">
        <v>273</v>
      </c>
      <c r="AY16">
        <v>3</v>
      </c>
      <c r="AZ16">
        <v>3</v>
      </c>
      <c r="BA16" t="s">
        <v>273</v>
      </c>
      <c r="BB16" t="s">
        <v>273</v>
      </c>
      <c r="BC16" t="s">
        <v>273</v>
      </c>
      <c r="BD16" t="s">
        <v>266</v>
      </c>
      <c r="BE16" t="s">
        <v>1465</v>
      </c>
      <c r="BF16" t="s">
        <v>273</v>
      </c>
      <c r="BG16">
        <v>0.15</v>
      </c>
      <c r="BH16" t="s">
        <v>273</v>
      </c>
      <c r="BI16" t="s">
        <v>273</v>
      </c>
      <c r="BJ16" t="s">
        <v>273</v>
      </c>
      <c r="BK16" t="s">
        <v>1073</v>
      </c>
      <c r="BL16">
        <v>7</v>
      </c>
      <c r="BM16">
        <v>27</v>
      </c>
      <c r="BN16" t="s">
        <v>1539</v>
      </c>
      <c r="BO16" s="3" t="s">
        <v>687</v>
      </c>
      <c r="BP16" s="3" t="s">
        <v>243</v>
      </c>
      <c r="BQ16">
        <v>45</v>
      </c>
      <c r="BR16">
        <v>2.5</v>
      </c>
      <c r="BS16" s="3" t="s">
        <v>1130</v>
      </c>
      <c r="BT16">
        <v>4</v>
      </c>
      <c r="BU16" t="s">
        <v>389</v>
      </c>
      <c r="BV16" s="3" t="s">
        <v>1468</v>
      </c>
      <c r="BW16" t="s">
        <v>273</v>
      </c>
      <c r="BX16" t="s">
        <v>346</v>
      </c>
      <c r="BY16" t="s">
        <v>736</v>
      </c>
      <c r="BZ16" t="s">
        <v>1485</v>
      </c>
      <c r="CA16" t="s">
        <v>1523</v>
      </c>
      <c r="CB16" t="s">
        <v>1211</v>
      </c>
      <c r="CC16" t="s">
        <v>1220</v>
      </c>
      <c r="CD16" t="s">
        <v>1211</v>
      </c>
      <c r="CE16" t="s">
        <v>1211</v>
      </c>
      <c r="CF16" t="s">
        <v>1247</v>
      </c>
      <c r="CG16" t="s">
        <v>1153</v>
      </c>
    </row>
    <row r="17" spans="1:85">
      <c r="A17" s="3" t="s">
        <v>94</v>
      </c>
      <c r="B17" s="3" t="s">
        <v>1329</v>
      </c>
      <c r="C17" s="3">
        <v>2023</v>
      </c>
      <c r="D17" s="3" t="s">
        <v>1364</v>
      </c>
      <c r="E17" s="3" t="s">
        <v>97</v>
      </c>
      <c r="F17" s="3">
        <v>20</v>
      </c>
      <c r="G17" s="3" t="s">
        <v>273</v>
      </c>
      <c r="H17" s="3" t="s">
        <v>273</v>
      </c>
      <c r="I17" s="3">
        <v>64.349999999999994</v>
      </c>
      <c r="J17" s="3">
        <v>7.96</v>
      </c>
      <c r="K17" s="3">
        <v>15.9</v>
      </c>
      <c r="L17" s="3">
        <v>9.83</v>
      </c>
      <c r="M17" s="3" t="s">
        <v>273</v>
      </c>
      <c r="N17" s="3" t="s">
        <v>273</v>
      </c>
      <c r="O17" s="3" t="s">
        <v>273</v>
      </c>
      <c r="P17" s="3" t="s">
        <v>273</v>
      </c>
      <c r="Q17" s="3" t="s">
        <v>273</v>
      </c>
      <c r="R17" s="3" t="s">
        <v>273</v>
      </c>
      <c r="S17" s="3">
        <v>1.37</v>
      </c>
      <c r="T17" s="3">
        <v>0.48</v>
      </c>
      <c r="U17" s="3" t="s">
        <v>273</v>
      </c>
      <c r="V17" s="3" t="s">
        <v>273</v>
      </c>
      <c r="W17" s="3" t="s">
        <v>273</v>
      </c>
      <c r="X17" s="3" t="s">
        <v>273</v>
      </c>
      <c r="Y17" s="3" t="s">
        <v>289</v>
      </c>
      <c r="Z17" s="3">
        <v>19</v>
      </c>
      <c r="AA17" s="3">
        <v>62.84</v>
      </c>
      <c r="AB17" s="3">
        <v>10.5</v>
      </c>
      <c r="AC17" s="3" t="s">
        <v>527</v>
      </c>
      <c r="AD17" s="3" t="s">
        <v>1248</v>
      </c>
      <c r="AE17" s="3" t="s">
        <v>1278</v>
      </c>
      <c r="AF17" s="3" t="s">
        <v>921</v>
      </c>
      <c r="AG17" s="3" t="s">
        <v>242</v>
      </c>
      <c r="AH17" s="3" t="s">
        <v>1432</v>
      </c>
      <c r="AI17" s="3" t="s">
        <v>910</v>
      </c>
      <c r="AJ17" s="3">
        <v>2400</v>
      </c>
      <c r="AK17" s="3">
        <v>25</v>
      </c>
      <c r="AL17" s="3">
        <v>210</v>
      </c>
      <c r="AM17" s="3">
        <f t="shared" si="0"/>
        <v>8.4</v>
      </c>
      <c r="AN17" s="3" t="s">
        <v>353</v>
      </c>
      <c r="AO17" s="3">
        <v>3</v>
      </c>
      <c r="AP17" s="3" t="s">
        <v>273</v>
      </c>
      <c r="AQ17" s="3" t="s">
        <v>269</v>
      </c>
      <c r="AR17" s="3" t="s">
        <v>269</v>
      </c>
      <c r="AS17" s="3" t="s">
        <v>269</v>
      </c>
      <c r="AT17" s="3" t="s">
        <v>269</v>
      </c>
      <c r="AU17" s="3" t="s">
        <v>1444</v>
      </c>
      <c r="AV17" s="3" t="s">
        <v>269</v>
      </c>
      <c r="AW17" s="3" t="s">
        <v>273</v>
      </c>
      <c r="AX17" s="3" t="s">
        <v>273</v>
      </c>
      <c r="AY17" s="3" t="s">
        <v>273</v>
      </c>
      <c r="AZ17" s="3" t="s">
        <v>273</v>
      </c>
      <c r="BA17" s="3" t="s">
        <v>273</v>
      </c>
      <c r="BB17" s="3" t="s">
        <v>273</v>
      </c>
      <c r="BC17" t="s">
        <v>273</v>
      </c>
      <c r="BD17" s="3" t="s">
        <v>266</v>
      </c>
      <c r="BE17" s="3" t="s">
        <v>1465</v>
      </c>
      <c r="BF17" s="3" t="s">
        <v>273</v>
      </c>
      <c r="BG17" s="3">
        <v>0.15</v>
      </c>
      <c r="BH17" s="3" t="s">
        <v>273</v>
      </c>
      <c r="BI17" s="3" t="s">
        <v>273</v>
      </c>
      <c r="BJ17" s="3" t="s">
        <v>273</v>
      </c>
      <c r="BK17" t="s">
        <v>1073</v>
      </c>
      <c r="BL17">
        <v>7</v>
      </c>
      <c r="BM17" s="3">
        <v>29</v>
      </c>
      <c r="BN17" t="s">
        <v>1543</v>
      </c>
      <c r="BO17" s="3" t="s">
        <v>687</v>
      </c>
      <c r="BP17" s="3" t="s">
        <v>243</v>
      </c>
      <c r="BQ17" s="3">
        <v>52.8</v>
      </c>
      <c r="BR17" s="3">
        <v>2.4</v>
      </c>
      <c r="BS17" s="3" t="s">
        <v>1130</v>
      </c>
      <c r="BT17" s="3">
        <v>4</v>
      </c>
      <c r="BU17" s="3" t="s">
        <v>389</v>
      </c>
      <c r="BV17" s="3" t="s">
        <v>1468</v>
      </c>
      <c r="BW17" t="s">
        <v>273</v>
      </c>
      <c r="BX17" s="3" t="s">
        <v>346</v>
      </c>
      <c r="BY17" t="s">
        <v>736</v>
      </c>
      <c r="BZ17" t="s">
        <v>1486</v>
      </c>
      <c r="CA17" t="s">
        <v>1211</v>
      </c>
      <c r="CB17" t="s">
        <v>1186</v>
      </c>
      <c r="CC17" t="s">
        <v>1222</v>
      </c>
      <c r="CD17" t="s">
        <v>1211</v>
      </c>
      <c r="CE17" t="s">
        <v>1211</v>
      </c>
      <c r="CF17" t="s">
        <v>1511</v>
      </c>
      <c r="CG17" t="s">
        <v>1154</v>
      </c>
    </row>
    <row r="18" spans="1:85">
      <c r="A18" s="3" t="s">
        <v>94</v>
      </c>
      <c r="B18" s="3" t="s">
        <v>1329</v>
      </c>
      <c r="C18" s="3">
        <v>2023</v>
      </c>
      <c r="D18" t="s">
        <v>1364</v>
      </c>
      <c r="E18" s="3" t="s">
        <v>97</v>
      </c>
      <c r="F18" s="3">
        <v>20</v>
      </c>
      <c r="G18" s="3" t="s">
        <v>273</v>
      </c>
      <c r="H18" s="3" t="s">
        <v>273</v>
      </c>
      <c r="I18" s="3">
        <v>67.349999999999994</v>
      </c>
      <c r="J18" s="3">
        <v>8</v>
      </c>
      <c r="K18" s="3">
        <v>18.100000000000001</v>
      </c>
      <c r="L18" s="3">
        <v>9.2200000000000006</v>
      </c>
      <c r="M18" s="3" t="s">
        <v>273</v>
      </c>
      <c r="N18" s="3" t="s">
        <v>273</v>
      </c>
      <c r="O18" s="3" t="s">
        <v>273</v>
      </c>
      <c r="P18" s="3" t="s">
        <v>273</v>
      </c>
      <c r="Q18" s="3" t="s">
        <v>273</v>
      </c>
      <c r="R18" s="3" t="s">
        <v>273</v>
      </c>
      <c r="S18" s="3">
        <v>1.7</v>
      </c>
      <c r="T18" s="3">
        <v>0.47</v>
      </c>
      <c r="U18" s="3" t="s">
        <v>273</v>
      </c>
      <c r="V18" s="3" t="s">
        <v>273</v>
      </c>
      <c r="W18" s="3" t="s">
        <v>273</v>
      </c>
      <c r="X18" s="3" t="s">
        <v>273</v>
      </c>
      <c r="Y18" s="3" t="s">
        <v>289</v>
      </c>
      <c r="Z18" s="3">
        <v>19</v>
      </c>
      <c r="AA18" s="3">
        <v>62.84</v>
      </c>
      <c r="AB18" s="3">
        <v>10.5</v>
      </c>
      <c r="AC18" s="3" t="s">
        <v>527</v>
      </c>
      <c r="AD18" s="3" t="s">
        <v>1248</v>
      </c>
      <c r="AE18" s="3" t="s">
        <v>1278</v>
      </c>
      <c r="AF18" s="3" t="s">
        <v>921</v>
      </c>
      <c r="AG18" s="3" t="s">
        <v>242</v>
      </c>
      <c r="AH18" s="3" t="s">
        <v>1432</v>
      </c>
      <c r="AI18" s="3" t="s">
        <v>910</v>
      </c>
      <c r="AJ18">
        <v>2400</v>
      </c>
      <c r="AK18" s="3">
        <v>25</v>
      </c>
      <c r="AL18" s="3">
        <v>210</v>
      </c>
      <c r="AM18" s="3">
        <f t="shared" si="0"/>
        <v>8.4</v>
      </c>
      <c r="AN18" s="3" t="s">
        <v>353</v>
      </c>
      <c r="AO18" s="3">
        <v>3</v>
      </c>
      <c r="AP18" s="3" t="s">
        <v>273</v>
      </c>
      <c r="AQ18" s="3" t="s">
        <v>269</v>
      </c>
      <c r="AR18" s="3" t="s">
        <v>269</v>
      </c>
      <c r="AS18" s="3" t="s">
        <v>269</v>
      </c>
      <c r="AT18" s="3" t="s">
        <v>269</v>
      </c>
      <c r="AU18" s="3" t="s">
        <v>1444</v>
      </c>
      <c r="AV18" s="3" t="s">
        <v>269</v>
      </c>
      <c r="AW18" s="3" t="s">
        <v>273</v>
      </c>
      <c r="AX18" s="3" t="s">
        <v>273</v>
      </c>
      <c r="AY18" s="3" t="s">
        <v>273</v>
      </c>
      <c r="AZ18" s="3" t="s">
        <v>273</v>
      </c>
      <c r="BA18" s="3" t="s">
        <v>273</v>
      </c>
      <c r="BB18" s="3" t="s">
        <v>273</v>
      </c>
      <c r="BC18" t="s">
        <v>273</v>
      </c>
      <c r="BD18" s="3" t="s">
        <v>266</v>
      </c>
      <c r="BE18" s="3" t="s">
        <v>1465</v>
      </c>
      <c r="BF18" s="3" t="s">
        <v>273</v>
      </c>
      <c r="BG18" s="3">
        <v>0.15</v>
      </c>
      <c r="BH18" s="3" t="s">
        <v>273</v>
      </c>
      <c r="BI18" s="3" t="s">
        <v>273</v>
      </c>
      <c r="BJ18" s="3" t="s">
        <v>273</v>
      </c>
      <c r="BK18" t="s">
        <v>1073</v>
      </c>
      <c r="BL18">
        <v>7</v>
      </c>
      <c r="BM18" s="3">
        <v>29</v>
      </c>
      <c r="BN18" t="s">
        <v>1543</v>
      </c>
      <c r="BO18" s="3" t="s">
        <v>687</v>
      </c>
      <c r="BP18" s="3" t="s">
        <v>243</v>
      </c>
      <c r="BQ18" s="3">
        <v>52.8</v>
      </c>
      <c r="BR18" s="3">
        <v>2.4</v>
      </c>
      <c r="BS18" s="3" t="s">
        <v>1130</v>
      </c>
      <c r="BT18" s="3">
        <v>4</v>
      </c>
      <c r="BU18" s="3" t="s">
        <v>389</v>
      </c>
      <c r="BV18" s="3" t="s">
        <v>1468</v>
      </c>
      <c r="BW18" t="s">
        <v>273</v>
      </c>
      <c r="BX18" s="3" t="s">
        <v>346</v>
      </c>
      <c r="BY18" t="s">
        <v>736</v>
      </c>
      <c r="BZ18" t="s">
        <v>1486</v>
      </c>
      <c r="CA18" t="s">
        <v>1211</v>
      </c>
      <c r="CB18" t="s">
        <v>1186</v>
      </c>
      <c r="CC18" t="s">
        <v>1222</v>
      </c>
      <c r="CD18" t="s">
        <v>1211</v>
      </c>
      <c r="CE18" t="s">
        <v>1211</v>
      </c>
      <c r="CF18" t="s">
        <v>1511</v>
      </c>
      <c r="CG18" t="s">
        <v>1154</v>
      </c>
    </row>
    <row r="19" spans="1:85">
      <c r="A19" s="27" t="s">
        <v>98</v>
      </c>
      <c r="B19" t="s">
        <v>1330</v>
      </c>
      <c r="C19">
        <v>2025</v>
      </c>
      <c r="D19" t="s">
        <v>1359</v>
      </c>
      <c r="E19" t="s">
        <v>100</v>
      </c>
      <c r="F19">
        <v>25</v>
      </c>
      <c r="G19" t="s">
        <v>273</v>
      </c>
      <c r="H19" t="s">
        <v>273</v>
      </c>
      <c r="I19">
        <v>64.48</v>
      </c>
      <c r="J19">
        <v>13.1</v>
      </c>
      <c r="K19" t="s">
        <v>273</v>
      </c>
      <c r="L19" t="s">
        <v>273</v>
      </c>
      <c r="M19" t="s">
        <v>273</v>
      </c>
      <c r="N19" t="s">
        <v>273</v>
      </c>
      <c r="O19">
        <v>45.74</v>
      </c>
      <c r="P19">
        <v>15.07</v>
      </c>
      <c r="Q19" t="s">
        <v>273</v>
      </c>
      <c r="R19" t="s">
        <v>273</v>
      </c>
      <c r="S19" t="s">
        <v>273</v>
      </c>
      <c r="T19" t="s">
        <v>273</v>
      </c>
      <c r="U19" t="s">
        <v>273</v>
      </c>
      <c r="V19" t="s">
        <v>273</v>
      </c>
      <c r="W19" t="s">
        <v>273</v>
      </c>
      <c r="X19" t="s">
        <v>273</v>
      </c>
      <c r="Y19" t="s">
        <v>289</v>
      </c>
      <c r="Z19" s="6">
        <v>29</v>
      </c>
      <c r="AA19" t="s">
        <v>273</v>
      </c>
      <c r="AB19" t="s">
        <v>273</v>
      </c>
      <c r="AC19" t="s">
        <v>331</v>
      </c>
      <c r="AD19" t="s">
        <v>1274</v>
      </c>
      <c r="AE19" t="s">
        <v>1109</v>
      </c>
      <c r="AF19" t="s">
        <v>272</v>
      </c>
      <c r="AG19" t="s">
        <v>1412</v>
      </c>
      <c r="AH19" t="s">
        <v>1432</v>
      </c>
      <c r="AI19" t="s">
        <v>910</v>
      </c>
      <c r="AJ19">
        <v>750</v>
      </c>
      <c r="AK19">
        <v>30</v>
      </c>
      <c r="AL19">
        <v>495</v>
      </c>
      <c r="AM19">
        <f>AJ19*AL19/60000</f>
        <v>6.1875</v>
      </c>
      <c r="AN19" t="s">
        <v>366</v>
      </c>
      <c r="AO19">
        <v>3</v>
      </c>
      <c r="AP19" t="s">
        <v>273</v>
      </c>
      <c r="AQ19" t="s">
        <v>269</v>
      </c>
      <c r="AR19" t="s">
        <v>269</v>
      </c>
      <c r="AS19" t="s">
        <v>269</v>
      </c>
      <c r="AT19" t="s">
        <v>269</v>
      </c>
      <c r="AU19" t="s">
        <v>269</v>
      </c>
      <c r="AV19" t="s">
        <v>269</v>
      </c>
      <c r="AW19" t="s">
        <v>273</v>
      </c>
      <c r="AX19" t="s">
        <v>273</v>
      </c>
      <c r="AY19" t="s">
        <v>273</v>
      </c>
      <c r="AZ19" t="s">
        <v>273</v>
      </c>
      <c r="BA19" t="s">
        <v>273</v>
      </c>
      <c r="BB19" t="s">
        <v>1454</v>
      </c>
      <c r="BC19" t="s">
        <v>273</v>
      </c>
      <c r="BD19" t="s">
        <v>266</v>
      </c>
      <c r="BE19" t="s">
        <v>273</v>
      </c>
      <c r="BF19" t="s">
        <v>273</v>
      </c>
      <c r="BG19" t="s">
        <v>273</v>
      </c>
      <c r="BH19" t="s">
        <v>273</v>
      </c>
      <c r="BI19" t="s">
        <v>273</v>
      </c>
      <c r="BJ19" t="s">
        <v>273</v>
      </c>
      <c r="BK19" t="s">
        <v>1073</v>
      </c>
      <c r="BL19">
        <v>10</v>
      </c>
      <c r="BM19">
        <v>19</v>
      </c>
      <c r="BN19" t="s">
        <v>1544</v>
      </c>
      <c r="BO19" s="3" t="s">
        <v>687</v>
      </c>
      <c r="BP19" s="3" t="s">
        <v>243</v>
      </c>
      <c r="BQ19">
        <v>30</v>
      </c>
      <c r="BR19">
        <v>0.75</v>
      </c>
      <c r="BS19" s="3" t="s">
        <v>1130</v>
      </c>
      <c r="BT19" t="s">
        <v>1131</v>
      </c>
      <c r="BU19" t="s">
        <v>736</v>
      </c>
      <c r="BV19" s="3" t="s">
        <v>1468</v>
      </c>
      <c r="BW19" t="s">
        <v>1471</v>
      </c>
      <c r="BX19" t="s">
        <v>736</v>
      </c>
      <c r="BY19" t="s">
        <v>736</v>
      </c>
      <c r="BZ19" t="s">
        <v>1487</v>
      </c>
      <c r="CA19" t="s">
        <v>1524</v>
      </c>
      <c r="CB19" s="6" t="s">
        <v>1664</v>
      </c>
      <c r="CC19" t="s">
        <v>1222</v>
      </c>
      <c r="CD19" t="s">
        <v>1203</v>
      </c>
      <c r="CE19" t="s">
        <v>1219</v>
      </c>
      <c r="CF19" t="s">
        <v>1249</v>
      </c>
      <c r="CG19" t="s">
        <v>1047</v>
      </c>
    </row>
    <row r="20" spans="1:85">
      <c r="A20" s="27" t="s">
        <v>98</v>
      </c>
      <c r="B20" t="s">
        <v>1330</v>
      </c>
      <c r="C20">
        <v>2025</v>
      </c>
      <c r="D20" s="3" t="s">
        <v>1359</v>
      </c>
      <c r="E20" t="s">
        <v>100</v>
      </c>
      <c r="F20">
        <v>53</v>
      </c>
      <c r="G20" t="s">
        <v>273</v>
      </c>
      <c r="H20" t="s">
        <v>273</v>
      </c>
      <c r="I20">
        <v>62.36</v>
      </c>
      <c r="J20">
        <v>8.2899999999999991</v>
      </c>
      <c r="K20" t="s">
        <v>273</v>
      </c>
      <c r="L20" t="s">
        <v>273</v>
      </c>
      <c r="M20" t="s">
        <v>273</v>
      </c>
      <c r="N20" t="s">
        <v>273</v>
      </c>
      <c r="O20">
        <v>39.479999999999997</v>
      </c>
      <c r="P20">
        <v>14.1</v>
      </c>
      <c r="Q20" t="s">
        <v>273</v>
      </c>
      <c r="R20" t="s">
        <v>273</v>
      </c>
      <c r="S20" t="s">
        <v>273</v>
      </c>
      <c r="T20" t="s">
        <v>273</v>
      </c>
      <c r="U20" t="s">
        <v>273</v>
      </c>
      <c r="V20" t="s">
        <v>273</v>
      </c>
      <c r="W20" t="s">
        <v>273</v>
      </c>
      <c r="X20" t="s">
        <v>273</v>
      </c>
      <c r="Y20" t="s">
        <v>289</v>
      </c>
      <c r="Z20" s="6">
        <v>29</v>
      </c>
      <c r="AA20" t="s">
        <v>273</v>
      </c>
      <c r="AB20" t="s">
        <v>273</v>
      </c>
      <c r="AC20" t="s">
        <v>331</v>
      </c>
      <c r="AD20" t="s">
        <v>1274</v>
      </c>
      <c r="AE20" t="s">
        <v>1109</v>
      </c>
      <c r="AF20" t="s">
        <v>272</v>
      </c>
      <c r="AG20" t="s">
        <v>1412</v>
      </c>
      <c r="AH20" t="s">
        <v>1432</v>
      </c>
      <c r="AI20" t="s">
        <v>910</v>
      </c>
      <c r="AJ20">
        <v>750</v>
      </c>
      <c r="AK20">
        <v>30</v>
      </c>
      <c r="AL20">
        <v>495</v>
      </c>
      <c r="AM20">
        <f>AJ20*AL20/60000</f>
        <v>6.1875</v>
      </c>
      <c r="AN20" t="s">
        <v>366</v>
      </c>
      <c r="AO20">
        <v>3</v>
      </c>
      <c r="AP20" t="s">
        <v>273</v>
      </c>
      <c r="AQ20" t="s">
        <v>269</v>
      </c>
      <c r="AR20" t="s">
        <v>269</v>
      </c>
      <c r="AS20" t="s">
        <v>269</v>
      </c>
      <c r="AT20" t="s">
        <v>269</v>
      </c>
      <c r="AU20" t="s">
        <v>269</v>
      </c>
      <c r="AV20" t="s">
        <v>269</v>
      </c>
      <c r="AW20" t="s">
        <v>273</v>
      </c>
      <c r="AX20" t="s">
        <v>273</v>
      </c>
      <c r="AY20" t="s">
        <v>273</v>
      </c>
      <c r="AZ20" t="s">
        <v>273</v>
      </c>
      <c r="BA20" t="s">
        <v>273</v>
      </c>
      <c r="BB20" t="s">
        <v>1454</v>
      </c>
      <c r="BC20" t="s">
        <v>273</v>
      </c>
      <c r="BD20" t="s">
        <v>266</v>
      </c>
      <c r="BE20" t="s">
        <v>273</v>
      </c>
      <c r="BF20" t="s">
        <v>273</v>
      </c>
      <c r="BG20" t="s">
        <v>273</v>
      </c>
      <c r="BH20" t="s">
        <v>273</v>
      </c>
      <c r="BI20" t="s">
        <v>273</v>
      </c>
      <c r="BJ20" t="s">
        <v>273</v>
      </c>
      <c r="BK20" t="s">
        <v>1073</v>
      </c>
      <c r="BL20">
        <v>10</v>
      </c>
      <c r="BM20">
        <v>19</v>
      </c>
      <c r="BN20" t="s">
        <v>1544</v>
      </c>
      <c r="BO20" s="3" t="s">
        <v>687</v>
      </c>
      <c r="BP20" s="3" t="s">
        <v>243</v>
      </c>
      <c r="BQ20">
        <v>30</v>
      </c>
      <c r="BR20">
        <v>0.75</v>
      </c>
      <c r="BS20" s="3" t="s">
        <v>1130</v>
      </c>
      <c r="BT20" t="s">
        <v>1131</v>
      </c>
      <c r="BU20" t="s">
        <v>736</v>
      </c>
      <c r="BV20" s="3" t="s">
        <v>1468</v>
      </c>
      <c r="BW20" t="s">
        <v>1471</v>
      </c>
      <c r="BX20" t="s">
        <v>736</v>
      </c>
      <c r="BY20" t="s">
        <v>736</v>
      </c>
      <c r="BZ20" t="s">
        <v>1487</v>
      </c>
      <c r="CA20" t="s">
        <v>1524</v>
      </c>
      <c r="CB20" s="6" t="s">
        <v>1664</v>
      </c>
      <c r="CC20" t="s">
        <v>1222</v>
      </c>
      <c r="CD20" t="s">
        <v>1203</v>
      </c>
      <c r="CE20" t="s">
        <v>1219</v>
      </c>
      <c r="CF20" t="s">
        <v>1249</v>
      </c>
      <c r="CG20" t="s">
        <v>1047</v>
      </c>
    </row>
    <row r="21" spans="1:85">
      <c r="A21" s="3" t="s">
        <v>101</v>
      </c>
      <c r="B21" s="3" t="s">
        <v>1331</v>
      </c>
      <c r="C21" s="3">
        <v>2021</v>
      </c>
      <c r="D21" s="3" t="s">
        <v>1362</v>
      </c>
      <c r="E21" s="3" t="s">
        <v>103</v>
      </c>
      <c r="F21" s="3">
        <v>29</v>
      </c>
      <c r="G21" s="3" t="s">
        <v>273</v>
      </c>
      <c r="H21" s="3" t="s">
        <v>273</v>
      </c>
      <c r="I21" s="3">
        <v>63.96</v>
      </c>
      <c r="J21" s="3">
        <v>7.73</v>
      </c>
      <c r="K21" s="3">
        <v>25.48</v>
      </c>
      <c r="L21" s="3">
        <v>8.77</v>
      </c>
      <c r="M21" s="3" t="s">
        <v>273</v>
      </c>
      <c r="N21" s="3" t="s">
        <v>273</v>
      </c>
      <c r="O21" s="3" t="s">
        <v>273</v>
      </c>
      <c r="P21" s="3" t="s">
        <v>273</v>
      </c>
      <c r="Q21" s="3" t="s">
        <v>273</v>
      </c>
      <c r="R21" s="3" t="s">
        <v>273</v>
      </c>
      <c r="S21" s="3" t="s">
        <v>273</v>
      </c>
      <c r="T21" s="3" t="s">
        <v>273</v>
      </c>
      <c r="U21" s="3">
        <v>2</v>
      </c>
      <c r="V21" s="23" t="s">
        <v>1402</v>
      </c>
      <c r="W21" s="3" t="s">
        <v>273</v>
      </c>
      <c r="X21" s="3" t="s">
        <v>273</v>
      </c>
      <c r="Y21" s="3" t="s">
        <v>289</v>
      </c>
      <c r="Z21" s="3">
        <v>20</v>
      </c>
      <c r="AA21" s="3">
        <v>64.400000000000006</v>
      </c>
      <c r="AB21" s="3">
        <v>8.07</v>
      </c>
      <c r="AC21" s="3" t="s">
        <v>331</v>
      </c>
      <c r="AD21" s="3" t="s">
        <v>1273</v>
      </c>
      <c r="AE21" s="3" t="s">
        <v>1279</v>
      </c>
      <c r="AF21" s="3" t="s">
        <v>921</v>
      </c>
      <c r="AG21" s="3" t="s">
        <v>242</v>
      </c>
      <c r="AH21" s="3" t="s">
        <v>1432</v>
      </c>
      <c r="AI21" s="3" t="s">
        <v>910</v>
      </c>
      <c r="AJ21" s="3">
        <v>2400</v>
      </c>
      <c r="AK21" s="3">
        <v>25</v>
      </c>
      <c r="AL21" s="3">
        <v>210</v>
      </c>
      <c r="AM21" s="3">
        <f t="shared" si="0"/>
        <v>8.4</v>
      </c>
      <c r="AN21" s="3" t="s">
        <v>353</v>
      </c>
      <c r="AO21" s="3">
        <v>3</v>
      </c>
      <c r="AP21" s="3" t="s">
        <v>271</v>
      </c>
      <c r="AQ21" s="3" t="s">
        <v>269</v>
      </c>
      <c r="AR21" s="3" t="s">
        <v>269</v>
      </c>
      <c r="AS21" s="3" t="s">
        <v>269</v>
      </c>
      <c r="AT21" s="3" t="s">
        <v>1444</v>
      </c>
      <c r="AU21" s="3" t="s">
        <v>1444</v>
      </c>
      <c r="AV21" s="3" t="s">
        <v>269</v>
      </c>
      <c r="AW21" s="3" t="s">
        <v>273</v>
      </c>
      <c r="AX21" s="3" t="s">
        <v>273</v>
      </c>
      <c r="AY21" s="3">
        <v>3</v>
      </c>
      <c r="AZ21" s="3">
        <v>3</v>
      </c>
      <c r="BA21" s="3" t="s">
        <v>273</v>
      </c>
      <c r="BB21" s="3" t="s">
        <v>1454</v>
      </c>
      <c r="BC21" t="s">
        <v>273</v>
      </c>
      <c r="BD21" s="3" t="s">
        <v>386</v>
      </c>
      <c r="BE21" s="3" t="s">
        <v>1465</v>
      </c>
      <c r="BF21" s="3" t="s">
        <v>273</v>
      </c>
      <c r="BG21" s="3">
        <v>0.15</v>
      </c>
      <c r="BH21" s="3" t="s">
        <v>273</v>
      </c>
      <c r="BI21" s="3" t="s">
        <v>273</v>
      </c>
      <c r="BJ21" s="3" t="s">
        <v>273</v>
      </c>
      <c r="BK21" t="s">
        <v>1073</v>
      </c>
      <c r="BL21">
        <v>6</v>
      </c>
      <c r="BM21" s="3">
        <v>16</v>
      </c>
      <c r="BN21" t="s">
        <v>1545</v>
      </c>
      <c r="BO21" s="3" t="s">
        <v>687</v>
      </c>
      <c r="BP21" s="3" t="s">
        <v>243</v>
      </c>
      <c r="BQ21" s="3">
        <v>48</v>
      </c>
      <c r="BR21" s="3">
        <v>2.4</v>
      </c>
      <c r="BS21" s="3" t="s">
        <v>1130</v>
      </c>
      <c r="BT21">
        <v>4</v>
      </c>
      <c r="BU21" s="3" t="s">
        <v>389</v>
      </c>
      <c r="BV21" s="3" t="s">
        <v>1468</v>
      </c>
      <c r="BW21" t="s">
        <v>1471</v>
      </c>
      <c r="BX21" s="3" t="s">
        <v>346</v>
      </c>
      <c r="BY21" t="s">
        <v>736</v>
      </c>
      <c r="BZ21" t="s">
        <v>1488</v>
      </c>
      <c r="CA21" t="s">
        <v>1223</v>
      </c>
      <c r="CB21" t="s">
        <v>1525</v>
      </c>
      <c r="CC21" t="s">
        <v>1224</v>
      </c>
      <c r="CD21" t="s">
        <v>1211</v>
      </c>
      <c r="CE21" t="s">
        <v>1211</v>
      </c>
      <c r="CF21" t="s">
        <v>1250</v>
      </c>
      <c r="CG21" t="s">
        <v>1155</v>
      </c>
    </row>
    <row r="22" spans="1:85">
      <c r="A22" s="3" t="s">
        <v>101</v>
      </c>
      <c r="B22" s="3" t="s">
        <v>1331</v>
      </c>
      <c r="C22" s="3">
        <v>2021</v>
      </c>
      <c r="D22" t="s">
        <v>1362</v>
      </c>
      <c r="E22" s="3" t="s">
        <v>103</v>
      </c>
      <c r="F22" s="8">
        <v>25</v>
      </c>
      <c r="G22" s="3" t="s">
        <v>273</v>
      </c>
      <c r="H22" s="3" t="s">
        <v>273</v>
      </c>
      <c r="I22" s="3">
        <v>59.36</v>
      </c>
      <c r="J22" s="3">
        <v>9.8699999999999992</v>
      </c>
      <c r="K22" s="3">
        <v>18.84</v>
      </c>
      <c r="L22" s="3">
        <v>10.42</v>
      </c>
      <c r="M22" s="3" t="s">
        <v>273</v>
      </c>
      <c r="N22" s="3" t="s">
        <v>273</v>
      </c>
      <c r="O22" s="3" t="s">
        <v>273</v>
      </c>
      <c r="P22" s="3" t="s">
        <v>273</v>
      </c>
      <c r="Q22" s="3" t="s">
        <v>273</v>
      </c>
      <c r="R22" s="3" t="s">
        <v>273</v>
      </c>
      <c r="S22" s="3" t="s">
        <v>273</v>
      </c>
      <c r="T22" s="3" t="s">
        <v>273</v>
      </c>
      <c r="U22" s="3">
        <v>2</v>
      </c>
      <c r="V22" s="23" t="s">
        <v>1403</v>
      </c>
      <c r="W22" s="3" t="s">
        <v>273</v>
      </c>
      <c r="X22" s="3" t="s">
        <v>273</v>
      </c>
      <c r="Y22" s="3" t="s">
        <v>289</v>
      </c>
      <c r="Z22" s="3">
        <v>20</v>
      </c>
      <c r="AA22" s="3">
        <v>64.400000000000006</v>
      </c>
      <c r="AB22" s="3">
        <v>8.07</v>
      </c>
      <c r="AC22" s="3" t="s">
        <v>331</v>
      </c>
      <c r="AD22" s="3" t="s">
        <v>1273</v>
      </c>
      <c r="AE22" s="3" t="s">
        <v>1279</v>
      </c>
      <c r="AF22" s="3" t="s">
        <v>921</v>
      </c>
      <c r="AG22" s="3" t="s">
        <v>242</v>
      </c>
      <c r="AH22" s="3" t="s">
        <v>1432</v>
      </c>
      <c r="AI22" s="3" t="s">
        <v>910</v>
      </c>
      <c r="AJ22" s="3">
        <v>2400</v>
      </c>
      <c r="AK22" s="3">
        <v>25</v>
      </c>
      <c r="AL22" s="3">
        <v>210</v>
      </c>
      <c r="AM22" s="3">
        <f t="shared" si="0"/>
        <v>8.4</v>
      </c>
      <c r="AN22" s="3" t="s">
        <v>353</v>
      </c>
      <c r="AO22" s="3">
        <v>3</v>
      </c>
      <c r="AP22" s="3" t="s">
        <v>271</v>
      </c>
      <c r="AQ22" s="3" t="s">
        <v>269</v>
      </c>
      <c r="AR22" s="3" t="s">
        <v>269</v>
      </c>
      <c r="AS22" s="3" t="s">
        <v>269</v>
      </c>
      <c r="AT22" s="3" t="s">
        <v>1444</v>
      </c>
      <c r="AU22" s="3" t="s">
        <v>1444</v>
      </c>
      <c r="AV22" s="3" t="s">
        <v>269</v>
      </c>
      <c r="AW22" s="3" t="s">
        <v>273</v>
      </c>
      <c r="AX22" s="3" t="s">
        <v>273</v>
      </c>
      <c r="AY22" s="3">
        <v>3</v>
      </c>
      <c r="AZ22" s="3">
        <v>3</v>
      </c>
      <c r="BA22" s="3" t="s">
        <v>273</v>
      </c>
      <c r="BB22" s="3" t="s">
        <v>1454</v>
      </c>
      <c r="BC22" t="s">
        <v>273</v>
      </c>
      <c r="BD22" s="3" t="s">
        <v>386</v>
      </c>
      <c r="BE22" s="3" t="s">
        <v>1465</v>
      </c>
      <c r="BF22" s="3" t="s">
        <v>273</v>
      </c>
      <c r="BG22" s="3">
        <v>0.15</v>
      </c>
      <c r="BH22" s="3" t="s">
        <v>273</v>
      </c>
      <c r="BI22" s="3" t="s">
        <v>273</v>
      </c>
      <c r="BJ22" s="3" t="s">
        <v>273</v>
      </c>
      <c r="BK22" t="s">
        <v>1073</v>
      </c>
      <c r="BL22">
        <v>6</v>
      </c>
      <c r="BM22" s="3">
        <v>16</v>
      </c>
      <c r="BN22" t="s">
        <v>1545</v>
      </c>
      <c r="BO22" s="3" t="s">
        <v>687</v>
      </c>
      <c r="BP22" s="3" t="s">
        <v>243</v>
      </c>
      <c r="BQ22" s="3">
        <v>48</v>
      </c>
      <c r="BR22" s="3">
        <v>2.4</v>
      </c>
      <c r="BS22" s="3" t="s">
        <v>1130</v>
      </c>
      <c r="BT22">
        <v>4</v>
      </c>
      <c r="BU22" s="3" t="s">
        <v>389</v>
      </c>
      <c r="BV22" s="3" t="s">
        <v>1468</v>
      </c>
      <c r="BW22" t="s">
        <v>1471</v>
      </c>
      <c r="BX22" s="3" t="s">
        <v>346</v>
      </c>
      <c r="BY22" t="s">
        <v>736</v>
      </c>
      <c r="BZ22" t="s">
        <v>1488</v>
      </c>
      <c r="CA22" t="s">
        <v>1223</v>
      </c>
      <c r="CB22" t="s">
        <v>1525</v>
      </c>
      <c r="CC22" t="s">
        <v>1224</v>
      </c>
      <c r="CD22" t="s">
        <v>1211</v>
      </c>
      <c r="CE22" t="s">
        <v>1211</v>
      </c>
      <c r="CF22" t="s">
        <v>1250</v>
      </c>
      <c r="CG22" t="s">
        <v>1155</v>
      </c>
    </row>
    <row r="23" spans="1:85">
      <c r="A23" s="27" t="s">
        <v>104</v>
      </c>
      <c r="B23" t="s">
        <v>1332</v>
      </c>
      <c r="C23">
        <v>2019</v>
      </c>
      <c r="D23" t="s">
        <v>1357</v>
      </c>
      <c r="E23" t="s">
        <v>106</v>
      </c>
      <c r="F23">
        <v>52</v>
      </c>
      <c r="G23" t="s">
        <v>273</v>
      </c>
      <c r="H23" t="s">
        <v>273</v>
      </c>
      <c r="I23">
        <v>58.63</v>
      </c>
      <c r="J23">
        <v>9.58</v>
      </c>
      <c r="K23">
        <v>16.41</v>
      </c>
      <c r="L23">
        <v>8.5299999999999994</v>
      </c>
      <c r="M23" t="s">
        <v>273</v>
      </c>
      <c r="N23" t="s">
        <v>273</v>
      </c>
      <c r="O23" t="s">
        <v>273</v>
      </c>
      <c r="P23" t="s">
        <v>273</v>
      </c>
      <c r="Q23" t="s">
        <v>273</v>
      </c>
      <c r="R23" t="s">
        <v>273</v>
      </c>
      <c r="S23" t="s">
        <v>273</v>
      </c>
      <c r="T23" t="s">
        <v>273</v>
      </c>
      <c r="U23" t="s">
        <v>273</v>
      </c>
      <c r="V23" t="s">
        <v>273</v>
      </c>
      <c r="W23" t="s">
        <v>273</v>
      </c>
      <c r="X23" t="s">
        <v>273</v>
      </c>
      <c r="Y23" t="s">
        <v>290</v>
      </c>
      <c r="Z23">
        <v>35</v>
      </c>
      <c r="AA23">
        <v>61.29</v>
      </c>
      <c r="AB23">
        <v>8.98</v>
      </c>
      <c r="AC23" t="s">
        <v>331</v>
      </c>
      <c r="AD23" t="s">
        <v>1274</v>
      </c>
      <c r="AE23" t="s">
        <v>1280</v>
      </c>
      <c r="AF23" t="s">
        <v>272</v>
      </c>
      <c r="AG23" t="s">
        <v>1413</v>
      </c>
      <c r="AH23" t="s">
        <v>1432</v>
      </c>
      <c r="AI23" t="s">
        <v>910</v>
      </c>
      <c r="AJ23">
        <v>1939.4</v>
      </c>
      <c r="AK23">
        <v>45</v>
      </c>
      <c r="AL23">
        <v>240</v>
      </c>
      <c r="AM23">
        <v>8</v>
      </c>
      <c r="AN23" t="s">
        <v>396</v>
      </c>
      <c r="AO23">
        <v>1.5</v>
      </c>
      <c r="AP23" t="s">
        <v>271</v>
      </c>
      <c r="AQ23" t="s">
        <v>269</v>
      </c>
      <c r="AR23" t="s">
        <v>269</v>
      </c>
      <c r="AS23" t="s">
        <v>269</v>
      </c>
      <c r="AT23" t="s">
        <v>1444</v>
      </c>
      <c r="AU23" t="s">
        <v>1444</v>
      </c>
      <c r="AV23" t="s">
        <v>269</v>
      </c>
      <c r="AW23">
        <v>0.2</v>
      </c>
      <c r="AX23" t="s">
        <v>273</v>
      </c>
      <c r="AY23" t="s">
        <v>273</v>
      </c>
      <c r="AZ23" t="s">
        <v>273</v>
      </c>
      <c r="BA23">
        <v>30</v>
      </c>
      <c r="BB23" t="s">
        <v>1455</v>
      </c>
      <c r="BC23" t="s">
        <v>273</v>
      </c>
      <c r="BD23" t="s">
        <v>266</v>
      </c>
      <c r="BE23" t="s">
        <v>1465</v>
      </c>
      <c r="BF23" t="s">
        <v>273</v>
      </c>
      <c r="BG23">
        <v>0.15</v>
      </c>
      <c r="BH23" t="s">
        <v>273</v>
      </c>
      <c r="BI23" t="s">
        <v>273</v>
      </c>
      <c r="BJ23" t="s">
        <v>273</v>
      </c>
      <c r="BK23" t="s">
        <v>1073</v>
      </c>
      <c r="BL23">
        <v>7</v>
      </c>
      <c r="BM23">
        <v>35</v>
      </c>
      <c r="BN23" t="s">
        <v>1539</v>
      </c>
      <c r="BO23" s="3" t="s">
        <v>687</v>
      </c>
      <c r="BP23" s="3" t="s">
        <v>243</v>
      </c>
      <c r="BQ23">
        <v>44</v>
      </c>
      <c r="BR23">
        <v>1.9394</v>
      </c>
      <c r="BS23" s="3" t="s">
        <v>1130</v>
      </c>
      <c r="BT23">
        <v>2</v>
      </c>
      <c r="BU23" t="s">
        <v>1133</v>
      </c>
      <c r="BV23" s="3" t="s">
        <v>1468</v>
      </c>
      <c r="BW23" t="s">
        <v>273</v>
      </c>
      <c r="BX23" t="s">
        <v>285</v>
      </c>
      <c r="BY23" t="s">
        <v>736</v>
      </c>
      <c r="BZ23" t="s">
        <v>1489</v>
      </c>
      <c r="CA23" t="s">
        <v>1187</v>
      </c>
      <c r="CB23" t="s">
        <v>1225</v>
      </c>
      <c r="CC23" t="s">
        <v>1218</v>
      </c>
      <c r="CD23" t="s">
        <v>1226</v>
      </c>
      <c r="CE23" t="s">
        <v>1219</v>
      </c>
      <c r="CF23" t="s">
        <v>1512</v>
      </c>
      <c r="CG23" t="s">
        <v>1156</v>
      </c>
    </row>
    <row r="24" spans="1:85">
      <c r="A24" s="27" t="s">
        <v>104</v>
      </c>
      <c r="B24" t="s">
        <v>1332</v>
      </c>
      <c r="C24">
        <v>2019</v>
      </c>
      <c r="D24" t="s">
        <v>1357</v>
      </c>
      <c r="E24" t="s">
        <v>106</v>
      </c>
      <c r="F24">
        <v>46</v>
      </c>
      <c r="G24" t="s">
        <v>273</v>
      </c>
      <c r="H24" t="s">
        <v>273</v>
      </c>
      <c r="I24">
        <v>65.87</v>
      </c>
      <c r="J24">
        <v>11.37</v>
      </c>
      <c r="K24">
        <v>26.82</v>
      </c>
      <c r="L24">
        <v>15.04</v>
      </c>
      <c r="M24" t="s">
        <v>273</v>
      </c>
      <c r="N24" t="s">
        <v>273</v>
      </c>
      <c r="O24" t="s">
        <v>273</v>
      </c>
      <c r="P24" t="s">
        <v>273</v>
      </c>
      <c r="Q24" t="s">
        <v>273</v>
      </c>
      <c r="R24" t="s">
        <v>273</v>
      </c>
      <c r="S24" t="s">
        <v>273</v>
      </c>
      <c r="T24" t="s">
        <v>273</v>
      </c>
      <c r="U24" t="s">
        <v>273</v>
      </c>
      <c r="V24" t="s">
        <v>273</v>
      </c>
      <c r="W24" t="s">
        <v>273</v>
      </c>
      <c r="X24" t="s">
        <v>273</v>
      </c>
      <c r="Y24" t="s">
        <v>290</v>
      </c>
      <c r="Z24">
        <v>35</v>
      </c>
      <c r="AA24">
        <v>61.29</v>
      </c>
      <c r="AB24">
        <v>8.98</v>
      </c>
      <c r="AC24" t="s">
        <v>331</v>
      </c>
      <c r="AD24" t="s">
        <v>1274</v>
      </c>
      <c r="AE24" t="s">
        <v>1280</v>
      </c>
      <c r="AF24" t="s">
        <v>272</v>
      </c>
      <c r="AG24" t="s">
        <v>1413</v>
      </c>
      <c r="AH24" t="s">
        <v>1432</v>
      </c>
      <c r="AI24" t="s">
        <v>910</v>
      </c>
      <c r="AJ24">
        <v>1939.4</v>
      </c>
      <c r="AK24">
        <v>45</v>
      </c>
      <c r="AL24">
        <v>240</v>
      </c>
      <c r="AM24">
        <v>8</v>
      </c>
      <c r="AN24" t="s">
        <v>396</v>
      </c>
      <c r="AO24">
        <v>1.5</v>
      </c>
      <c r="AP24" t="s">
        <v>271</v>
      </c>
      <c r="AQ24" t="s">
        <v>269</v>
      </c>
      <c r="AR24" t="s">
        <v>269</v>
      </c>
      <c r="AS24" t="s">
        <v>269</v>
      </c>
      <c r="AT24" t="s">
        <v>1444</v>
      </c>
      <c r="AU24" t="s">
        <v>1444</v>
      </c>
      <c r="AV24" t="s">
        <v>269</v>
      </c>
      <c r="AW24">
        <v>0.2</v>
      </c>
      <c r="AX24" t="s">
        <v>273</v>
      </c>
      <c r="AY24" t="s">
        <v>273</v>
      </c>
      <c r="AZ24" t="s">
        <v>273</v>
      </c>
      <c r="BA24">
        <v>30</v>
      </c>
      <c r="BB24" t="s">
        <v>1455</v>
      </c>
      <c r="BC24" t="s">
        <v>273</v>
      </c>
      <c r="BD24" t="s">
        <v>266</v>
      </c>
      <c r="BE24" t="s">
        <v>1465</v>
      </c>
      <c r="BF24" t="s">
        <v>273</v>
      </c>
      <c r="BG24">
        <v>0.15</v>
      </c>
      <c r="BH24" t="s">
        <v>273</v>
      </c>
      <c r="BI24" t="s">
        <v>273</v>
      </c>
      <c r="BJ24" t="s">
        <v>273</v>
      </c>
      <c r="BK24" t="s">
        <v>1073</v>
      </c>
      <c r="BL24">
        <v>7</v>
      </c>
      <c r="BM24">
        <v>35</v>
      </c>
      <c r="BN24" t="s">
        <v>1539</v>
      </c>
      <c r="BO24" s="3" t="s">
        <v>687</v>
      </c>
      <c r="BP24" s="3" t="s">
        <v>243</v>
      </c>
      <c r="BQ24">
        <v>44</v>
      </c>
      <c r="BR24">
        <v>1.9394</v>
      </c>
      <c r="BS24" s="3" t="s">
        <v>1130</v>
      </c>
      <c r="BT24">
        <v>2</v>
      </c>
      <c r="BU24" t="s">
        <v>1133</v>
      </c>
      <c r="BV24" s="3" t="s">
        <v>1468</v>
      </c>
      <c r="BW24" t="s">
        <v>273</v>
      </c>
      <c r="BX24" t="s">
        <v>285</v>
      </c>
      <c r="BY24" t="s">
        <v>736</v>
      </c>
      <c r="BZ24" t="s">
        <v>1489</v>
      </c>
      <c r="CA24" t="s">
        <v>1187</v>
      </c>
      <c r="CB24" t="s">
        <v>1225</v>
      </c>
      <c r="CC24" t="s">
        <v>1218</v>
      </c>
      <c r="CD24" t="s">
        <v>1226</v>
      </c>
      <c r="CE24" t="s">
        <v>1219</v>
      </c>
      <c r="CF24" t="s">
        <v>1512</v>
      </c>
      <c r="CG24" t="s">
        <v>1156</v>
      </c>
    </row>
    <row r="25" spans="1:85">
      <c r="A25" s="27" t="s">
        <v>104</v>
      </c>
      <c r="B25" t="s">
        <v>1332</v>
      </c>
      <c r="C25">
        <v>2019</v>
      </c>
      <c r="D25" s="3" t="s">
        <v>1357</v>
      </c>
      <c r="E25" t="s">
        <v>106</v>
      </c>
      <c r="F25">
        <v>20</v>
      </c>
      <c r="G25" t="s">
        <v>273</v>
      </c>
      <c r="H25" t="s">
        <v>273</v>
      </c>
      <c r="I25">
        <v>71.75</v>
      </c>
      <c r="J25">
        <v>6.62</v>
      </c>
      <c r="K25">
        <v>35.6</v>
      </c>
      <c r="L25">
        <v>16.71</v>
      </c>
      <c r="M25" t="s">
        <v>273</v>
      </c>
      <c r="N25" t="s">
        <v>273</v>
      </c>
      <c r="O25" t="s">
        <v>273</v>
      </c>
      <c r="P25" t="s">
        <v>273</v>
      </c>
      <c r="Q25" t="s">
        <v>273</v>
      </c>
      <c r="R25" t="s">
        <v>273</v>
      </c>
      <c r="S25" t="s">
        <v>273</v>
      </c>
      <c r="T25" t="s">
        <v>273</v>
      </c>
      <c r="U25" t="s">
        <v>273</v>
      </c>
      <c r="V25" t="s">
        <v>273</v>
      </c>
      <c r="W25" t="s">
        <v>273</v>
      </c>
      <c r="X25" t="s">
        <v>273</v>
      </c>
      <c r="Y25" t="s">
        <v>290</v>
      </c>
      <c r="Z25">
        <v>35</v>
      </c>
      <c r="AA25">
        <v>61.29</v>
      </c>
      <c r="AB25">
        <v>8.98</v>
      </c>
      <c r="AC25" t="s">
        <v>331</v>
      </c>
      <c r="AD25" t="s">
        <v>1274</v>
      </c>
      <c r="AE25" t="s">
        <v>1280</v>
      </c>
      <c r="AF25" t="s">
        <v>272</v>
      </c>
      <c r="AG25" t="s">
        <v>1413</v>
      </c>
      <c r="AH25" t="s">
        <v>1432</v>
      </c>
      <c r="AI25" t="s">
        <v>910</v>
      </c>
      <c r="AJ25">
        <v>1939.4</v>
      </c>
      <c r="AK25">
        <v>45</v>
      </c>
      <c r="AL25">
        <v>240</v>
      </c>
      <c r="AM25">
        <v>8</v>
      </c>
      <c r="AN25" t="s">
        <v>396</v>
      </c>
      <c r="AO25">
        <v>1.5</v>
      </c>
      <c r="AP25" t="s">
        <v>271</v>
      </c>
      <c r="AQ25" t="s">
        <v>269</v>
      </c>
      <c r="AR25" t="s">
        <v>269</v>
      </c>
      <c r="AS25" t="s">
        <v>269</v>
      </c>
      <c r="AT25" t="s">
        <v>1444</v>
      </c>
      <c r="AU25" t="s">
        <v>1444</v>
      </c>
      <c r="AV25" t="s">
        <v>269</v>
      </c>
      <c r="AW25">
        <v>0.2</v>
      </c>
      <c r="AX25" t="s">
        <v>273</v>
      </c>
      <c r="AY25" t="s">
        <v>273</v>
      </c>
      <c r="AZ25" t="s">
        <v>273</v>
      </c>
      <c r="BA25">
        <v>30</v>
      </c>
      <c r="BB25" t="s">
        <v>1455</v>
      </c>
      <c r="BC25" t="s">
        <v>273</v>
      </c>
      <c r="BD25" t="s">
        <v>266</v>
      </c>
      <c r="BE25" t="s">
        <v>1465</v>
      </c>
      <c r="BF25" t="s">
        <v>273</v>
      </c>
      <c r="BG25">
        <v>0.15</v>
      </c>
      <c r="BH25" t="s">
        <v>273</v>
      </c>
      <c r="BI25" t="s">
        <v>273</v>
      </c>
      <c r="BJ25" t="s">
        <v>273</v>
      </c>
      <c r="BK25" t="s">
        <v>1073</v>
      </c>
      <c r="BL25">
        <v>7</v>
      </c>
      <c r="BM25">
        <v>35</v>
      </c>
      <c r="BN25" t="s">
        <v>1539</v>
      </c>
      <c r="BO25" s="3" t="s">
        <v>687</v>
      </c>
      <c r="BP25" s="3" t="s">
        <v>243</v>
      </c>
      <c r="BQ25">
        <v>44</v>
      </c>
      <c r="BR25">
        <v>1.9394</v>
      </c>
      <c r="BS25" s="3" t="s">
        <v>1130</v>
      </c>
      <c r="BT25">
        <v>2</v>
      </c>
      <c r="BU25" t="s">
        <v>1133</v>
      </c>
      <c r="BV25" s="3" t="s">
        <v>1468</v>
      </c>
      <c r="BW25" t="s">
        <v>273</v>
      </c>
      <c r="BX25" t="s">
        <v>285</v>
      </c>
      <c r="BY25" t="s">
        <v>736</v>
      </c>
      <c r="BZ25" t="s">
        <v>1489</v>
      </c>
      <c r="CA25" t="s">
        <v>1187</v>
      </c>
      <c r="CB25" t="s">
        <v>1225</v>
      </c>
      <c r="CC25" t="s">
        <v>1218</v>
      </c>
      <c r="CD25" t="s">
        <v>1226</v>
      </c>
      <c r="CE25" t="s">
        <v>1219</v>
      </c>
      <c r="CF25" t="s">
        <v>1512</v>
      </c>
      <c r="CG25" t="s">
        <v>1156</v>
      </c>
    </row>
    <row r="26" spans="1:85">
      <c r="A26" s="3" t="s">
        <v>107</v>
      </c>
      <c r="B26" s="3" t="s">
        <v>1333</v>
      </c>
      <c r="C26" s="3">
        <v>2024</v>
      </c>
      <c r="D26" s="3" t="s">
        <v>1361</v>
      </c>
      <c r="E26" s="3" t="s">
        <v>109</v>
      </c>
      <c r="F26" s="3">
        <v>64</v>
      </c>
      <c r="G26" s="3" t="s">
        <v>273</v>
      </c>
      <c r="H26" s="3" t="s">
        <v>273</v>
      </c>
      <c r="I26" s="3">
        <v>60.13</v>
      </c>
      <c r="J26" s="3">
        <v>9.1999999999999993</v>
      </c>
      <c r="K26" s="3">
        <v>56.8</v>
      </c>
      <c r="L26" s="3">
        <v>20.56</v>
      </c>
      <c r="M26" s="3" t="s">
        <v>273</v>
      </c>
      <c r="N26" s="3" t="s">
        <v>273</v>
      </c>
      <c r="O26" s="3" t="s">
        <v>273</v>
      </c>
      <c r="P26" s="3" t="s">
        <v>273</v>
      </c>
      <c r="Q26" s="3" t="s">
        <v>273</v>
      </c>
      <c r="R26" s="3" t="s">
        <v>273</v>
      </c>
      <c r="S26" s="3">
        <v>2.8</v>
      </c>
      <c r="T26" s="3">
        <v>0.79</v>
      </c>
      <c r="U26" s="3" t="s">
        <v>273</v>
      </c>
      <c r="V26" s="3" t="s">
        <v>273</v>
      </c>
      <c r="W26" s="3" t="s">
        <v>273</v>
      </c>
      <c r="X26" s="3" t="s">
        <v>273</v>
      </c>
      <c r="Y26" s="3" t="s">
        <v>290</v>
      </c>
      <c r="Z26" s="3">
        <v>54</v>
      </c>
      <c r="AA26" s="3">
        <v>59.51</v>
      </c>
      <c r="AB26" s="3">
        <v>6.15</v>
      </c>
      <c r="AC26" s="3" t="s">
        <v>331</v>
      </c>
      <c r="AD26" s="3" t="s">
        <v>1273</v>
      </c>
      <c r="AE26" s="3" t="s">
        <v>1281</v>
      </c>
      <c r="AF26" s="3" t="s">
        <v>272</v>
      </c>
      <c r="AG26" s="3" t="s">
        <v>924</v>
      </c>
      <c r="AH26" s="3" t="s">
        <v>1432</v>
      </c>
      <c r="AI26" s="3" t="s">
        <v>910</v>
      </c>
      <c r="AJ26" s="3">
        <v>2000</v>
      </c>
      <c r="AK26" s="3">
        <v>30</v>
      </c>
      <c r="AL26" s="3">
        <v>240</v>
      </c>
      <c r="AM26" s="3">
        <f>AJ26*AL26/60000</f>
        <v>8</v>
      </c>
      <c r="AN26" s="3" t="s">
        <v>263</v>
      </c>
      <c r="AO26" s="3">
        <v>3</v>
      </c>
      <c r="AP26" s="3" t="s">
        <v>428</v>
      </c>
      <c r="AQ26" s="3" t="s">
        <v>1444</v>
      </c>
      <c r="AR26" s="3" t="s">
        <v>269</v>
      </c>
      <c r="AS26" s="3" t="s">
        <v>269</v>
      </c>
      <c r="AT26" s="3" t="s">
        <v>1444</v>
      </c>
      <c r="AU26" s="3" t="s">
        <v>1444</v>
      </c>
      <c r="AV26" s="3" t="s">
        <v>269</v>
      </c>
      <c r="AW26" t="s">
        <v>273</v>
      </c>
      <c r="AX26" t="s">
        <v>273</v>
      </c>
      <c r="AY26" t="s">
        <v>273</v>
      </c>
      <c r="AZ26" t="s">
        <v>273</v>
      </c>
      <c r="BA26" t="s">
        <v>273</v>
      </c>
      <c r="BB26" t="s">
        <v>1456</v>
      </c>
      <c r="BC26" t="s">
        <v>273</v>
      </c>
      <c r="BD26" s="3" t="s">
        <v>270</v>
      </c>
      <c r="BE26" s="3" t="s">
        <v>1464</v>
      </c>
      <c r="BF26" s="3">
        <v>0.01</v>
      </c>
      <c r="BG26" s="3">
        <v>0.08</v>
      </c>
      <c r="BH26" s="8" t="s">
        <v>1465</v>
      </c>
      <c r="BI26" s="3">
        <v>0.01</v>
      </c>
      <c r="BJ26" s="3">
        <v>0.15</v>
      </c>
      <c r="BK26" t="s">
        <v>1073</v>
      </c>
      <c r="BL26">
        <v>5</v>
      </c>
      <c r="BM26" s="3">
        <v>22</v>
      </c>
      <c r="BN26" t="s">
        <v>1546</v>
      </c>
      <c r="BO26" s="3" t="s">
        <v>687</v>
      </c>
      <c r="BP26" s="3" t="s">
        <v>243</v>
      </c>
      <c r="BQ26" s="3">
        <v>44</v>
      </c>
      <c r="BR26" s="3">
        <v>2</v>
      </c>
      <c r="BS26" s="3" t="s">
        <v>1130</v>
      </c>
      <c r="BT26" s="3">
        <v>4</v>
      </c>
      <c r="BU26" s="3" t="s">
        <v>389</v>
      </c>
      <c r="BV26" s="3" t="s">
        <v>1468</v>
      </c>
      <c r="BW26" t="s">
        <v>273</v>
      </c>
      <c r="BX26" s="3" t="s">
        <v>285</v>
      </c>
      <c r="BY26" t="s">
        <v>736</v>
      </c>
      <c r="BZ26" t="s">
        <v>1490</v>
      </c>
      <c r="CA26" t="s">
        <v>1227</v>
      </c>
      <c r="CB26" t="s">
        <v>1228</v>
      </c>
      <c r="CC26" t="s">
        <v>1218</v>
      </c>
      <c r="CD26" t="s">
        <v>1229</v>
      </c>
      <c r="CE26" t="s">
        <v>1219</v>
      </c>
      <c r="CF26" t="s">
        <v>1251</v>
      </c>
      <c r="CG26" t="s">
        <v>273</v>
      </c>
    </row>
    <row r="27" spans="1:85">
      <c r="A27" s="3" t="s">
        <v>107</v>
      </c>
      <c r="B27" s="3" t="s">
        <v>1333</v>
      </c>
      <c r="C27" s="3">
        <v>2024</v>
      </c>
      <c r="D27" t="s">
        <v>1361</v>
      </c>
      <c r="E27" s="3" t="s">
        <v>109</v>
      </c>
      <c r="F27" s="3">
        <v>31</v>
      </c>
      <c r="G27" s="3" t="s">
        <v>273</v>
      </c>
      <c r="H27" s="3" t="s">
        <v>273</v>
      </c>
      <c r="I27" s="3">
        <v>62.13</v>
      </c>
      <c r="J27" s="3">
        <v>6.2</v>
      </c>
      <c r="K27" s="3">
        <v>50.68</v>
      </c>
      <c r="L27" s="3">
        <v>16.39</v>
      </c>
      <c r="M27" s="3" t="s">
        <v>273</v>
      </c>
      <c r="N27" s="3" t="s">
        <v>273</v>
      </c>
      <c r="O27" s="3" t="s">
        <v>273</v>
      </c>
      <c r="P27" s="3" t="s">
        <v>273</v>
      </c>
      <c r="Q27" s="3" t="s">
        <v>273</v>
      </c>
      <c r="R27" s="3" t="s">
        <v>273</v>
      </c>
      <c r="S27" s="3">
        <v>2.63</v>
      </c>
      <c r="T27" s="3">
        <v>0.97</v>
      </c>
      <c r="U27" s="3" t="s">
        <v>273</v>
      </c>
      <c r="V27" s="3" t="s">
        <v>273</v>
      </c>
      <c r="W27" s="3" t="s">
        <v>273</v>
      </c>
      <c r="X27" s="3" t="s">
        <v>273</v>
      </c>
      <c r="Y27" s="3" t="s">
        <v>290</v>
      </c>
      <c r="Z27">
        <v>54</v>
      </c>
      <c r="AA27" s="3">
        <v>59.51</v>
      </c>
      <c r="AB27" s="3">
        <v>6.15</v>
      </c>
      <c r="AC27" s="3" t="s">
        <v>331</v>
      </c>
      <c r="AD27" s="3" t="s">
        <v>1273</v>
      </c>
      <c r="AE27" s="3" t="s">
        <v>1281</v>
      </c>
      <c r="AF27" s="3" t="s">
        <v>272</v>
      </c>
      <c r="AG27" s="3" t="s">
        <v>924</v>
      </c>
      <c r="AH27" s="3" t="s">
        <v>1432</v>
      </c>
      <c r="AI27" s="3" t="s">
        <v>910</v>
      </c>
      <c r="AJ27" s="3">
        <v>2000</v>
      </c>
      <c r="AK27" s="3">
        <v>30</v>
      </c>
      <c r="AL27" s="3">
        <v>240</v>
      </c>
      <c r="AM27" s="3">
        <f>AJ27*AL27/60000</f>
        <v>8</v>
      </c>
      <c r="AN27" s="3" t="s">
        <v>263</v>
      </c>
      <c r="AO27" s="3">
        <v>3</v>
      </c>
      <c r="AP27" s="3" t="s">
        <v>428</v>
      </c>
      <c r="AQ27" s="3" t="s">
        <v>1444</v>
      </c>
      <c r="AR27" s="3" t="s">
        <v>269</v>
      </c>
      <c r="AS27" s="3" t="s">
        <v>269</v>
      </c>
      <c r="AT27" s="3" t="s">
        <v>1444</v>
      </c>
      <c r="AU27" s="3" t="s">
        <v>1444</v>
      </c>
      <c r="AV27" s="3" t="s">
        <v>269</v>
      </c>
      <c r="AW27" t="s">
        <v>273</v>
      </c>
      <c r="AX27" t="s">
        <v>273</v>
      </c>
      <c r="AY27" t="s">
        <v>273</v>
      </c>
      <c r="AZ27" t="s">
        <v>273</v>
      </c>
      <c r="BA27" t="s">
        <v>273</v>
      </c>
      <c r="BB27" t="s">
        <v>1456</v>
      </c>
      <c r="BC27" t="s">
        <v>273</v>
      </c>
      <c r="BD27" s="3" t="s">
        <v>270</v>
      </c>
      <c r="BE27" s="3" t="s">
        <v>1464</v>
      </c>
      <c r="BF27" s="3">
        <v>0.01</v>
      </c>
      <c r="BG27" s="3">
        <v>0.08</v>
      </c>
      <c r="BH27" s="8" t="s">
        <v>1465</v>
      </c>
      <c r="BI27" s="3">
        <v>0.01</v>
      </c>
      <c r="BJ27" s="3">
        <v>0.15</v>
      </c>
      <c r="BK27" t="s">
        <v>1073</v>
      </c>
      <c r="BL27">
        <v>5</v>
      </c>
      <c r="BM27" s="3">
        <v>22</v>
      </c>
      <c r="BN27" t="s">
        <v>1546</v>
      </c>
      <c r="BO27" s="3" t="s">
        <v>687</v>
      </c>
      <c r="BP27" s="3" t="s">
        <v>243</v>
      </c>
      <c r="BQ27" s="3">
        <v>44</v>
      </c>
      <c r="BR27" s="3">
        <v>2</v>
      </c>
      <c r="BS27" s="3" t="s">
        <v>1130</v>
      </c>
      <c r="BT27" s="3">
        <v>4</v>
      </c>
      <c r="BU27" s="3" t="s">
        <v>389</v>
      </c>
      <c r="BV27" s="3" t="s">
        <v>1468</v>
      </c>
      <c r="BW27" t="s">
        <v>273</v>
      </c>
      <c r="BX27" s="3" t="s">
        <v>285</v>
      </c>
      <c r="BY27" t="s">
        <v>736</v>
      </c>
      <c r="BZ27" t="s">
        <v>1490</v>
      </c>
      <c r="CA27" t="s">
        <v>1227</v>
      </c>
      <c r="CB27" t="s">
        <v>1228</v>
      </c>
      <c r="CC27" t="s">
        <v>1218</v>
      </c>
      <c r="CD27" t="s">
        <v>1229</v>
      </c>
      <c r="CE27" t="s">
        <v>1219</v>
      </c>
      <c r="CF27" t="s">
        <v>1251</v>
      </c>
      <c r="CG27" t="s">
        <v>273</v>
      </c>
    </row>
    <row r="28" spans="1:85">
      <c r="A28" s="27" t="s">
        <v>110</v>
      </c>
      <c r="B28" t="s">
        <v>1334</v>
      </c>
      <c r="C28">
        <v>2021</v>
      </c>
      <c r="D28" s="3" t="s">
        <v>1359</v>
      </c>
      <c r="E28" t="s">
        <v>112</v>
      </c>
      <c r="F28" s="31">
        <v>32</v>
      </c>
      <c r="G28" t="s">
        <v>273</v>
      </c>
      <c r="H28" t="s">
        <v>273</v>
      </c>
      <c r="I28">
        <v>62.84</v>
      </c>
      <c r="J28">
        <v>8.5399999999999991</v>
      </c>
      <c r="K28">
        <v>30.25</v>
      </c>
      <c r="L28">
        <v>7.68</v>
      </c>
      <c r="M28" t="s">
        <v>273</v>
      </c>
      <c r="N28" t="s">
        <v>273</v>
      </c>
      <c r="O28">
        <v>35.71</v>
      </c>
      <c r="P28">
        <v>7.83</v>
      </c>
      <c r="Q28" t="s">
        <v>273</v>
      </c>
      <c r="R28" t="s">
        <v>273</v>
      </c>
      <c r="S28" s="31">
        <v>2.5299999999999998</v>
      </c>
      <c r="T28" s="31">
        <v>0.45</v>
      </c>
      <c r="U28" t="s">
        <v>273</v>
      </c>
      <c r="V28" t="s">
        <v>273</v>
      </c>
      <c r="W28" t="s">
        <v>273</v>
      </c>
      <c r="X28" t="s">
        <v>273</v>
      </c>
      <c r="Y28" t="s">
        <v>302</v>
      </c>
      <c r="Z28" s="6">
        <v>32</v>
      </c>
      <c r="AA28">
        <v>63.41</v>
      </c>
      <c r="AB28">
        <v>7.06</v>
      </c>
      <c r="AC28" t="s">
        <v>527</v>
      </c>
      <c r="AD28" t="s">
        <v>1270</v>
      </c>
      <c r="AE28" t="s">
        <v>1282</v>
      </c>
      <c r="AF28" t="s">
        <v>272</v>
      </c>
      <c r="AG28" t="s">
        <v>1414</v>
      </c>
      <c r="AH28" t="s">
        <v>1432</v>
      </c>
      <c r="AI28" t="s">
        <v>910</v>
      </c>
      <c r="AJ28">
        <v>2000</v>
      </c>
      <c r="AK28">
        <v>30</v>
      </c>
      <c r="AL28">
        <v>200</v>
      </c>
      <c r="AM28" s="3">
        <f t="shared" ref="AM28:AM47" si="1">AJ28*AL28/60000</f>
        <v>6.666666666666667</v>
      </c>
      <c r="AN28" t="s">
        <v>736</v>
      </c>
      <c r="AO28">
        <v>3</v>
      </c>
      <c r="AP28" t="s">
        <v>428</v>
      </c>
      <c r="AQ28" t="s">
        <v>269</v>
      </c>
      <c r="AR28" t="s">
        <v>269</v>
      </c>
      <c r="AS28" t="s">
        <v>269</v>
      </c>
      <c r="AT28" t="s">
        <v>269</v>
      </c>
      <c r="AU28" t="s">
        <v>269</v>
      </c>
      <c r="AV28" t="s">
        <v>269</v>
      </c>
      <c r="AW28" t="s">
        <v>273</v>
      </c>
      <c r="AX28" t="s">
        <v>273</v>
      </c>
      <c r="AY28">
        <v>3</v>
      </c>
      <c r="AZ28">
        <v>3</v>
      </c>
      <c r="BA28" t="s">
        <v>273</v>
      </c>
      <c r="BB28" s="6" t="s">
        <v>1665</v>
      </c>
      <c r="BC28" t="s">
        <v>273</v>
      </c>
      <c r="BD28" t="s">
        <v>266</v>
      </c>
      <c r="BE28" t="s">
        <v>1464</v>
      </c>
      <c r="BF28">
        <v>0.01</v>
      </c>
      <c r="BG28">
        <v>0.1</v>
      </c>
      <c r="BH28" t="s">
        <v>273</v>
      </c>
      <c r="BI28" t="s">
        <v>273</v>
      </c>
      <c r="BJ28" t="s">
        <v>273</v>
      </c>
      <c r="BK28" t="s">
        <v>1073</v>
      </c>
      <c r="BL28">
        <v>4</v>
      </c>
      <c r="BM28">
        <v>98</v>
      </c>
      <c r="BN28" t="s">
        <v>1547</v>
      </c>
      <c r="BO28" s="3" t="s">
        <v>1117</v>
      </c>
      <c r="BP28" s="3" t="s">
        <v>243</v>
      </c>
      <c r="BQ28">
        <v>44</v>
      </c>
      <c r="BR28">
        <v>2</v>
      </c>
      <c r="BS28" s="3" t="s">
        <v>1130</v>
      </c>
      <c r="BT28">
        <v>3</v>
      </c>
      <c r="BU28" s="3" t="s">
        <v>389</v>
      </c>
      <c r="BV28" s="3" t="s">
        <v>1468</v>
      </c>
      <c r="BW28" t="s">
        <v>273</v>
      </c>
      <c r="BX28" t="s">
        <v>736</v>
      </c>
      <c r="BY28" t="s">
        <v>736</v>
      </c>
      <c r="BZ28" t="s">
        <v>1491</v>
      </c>
      <c r="CA28" t="s">
        <v>1230</v>
      </c>
      <c r="CB28" t="s">
        <v>1231</v>
      </c>
      <c r="CC28" t="s">
        <v>1222</v>
      </c>
      <c r="CD28" t="s">
        <v>1211</v>
      </c>
      <c r="CE28" t="s">
        <v>1211</v>
      </c>
      <c r="CF28" t="s">
        <v>1252</v>
      </c>
      <c r="CG28" t="s">
        <v>1157</v>
      </c>
    </row>
    <row r="29" spans="1:85">
      <c r="A29" s="3" t="s">
        <v>113</v>
      </c>
      <c r="B29" s="3" t="s">
        <v>1335</v>
      </c>
      <c r="C29" s="3">
        <v>2017</v>
      </c>
      <c r="D29" t="s">
        <v>1357</v>
      </c>
      <c r="E29" s="3" t="s">
        <v>115</v>
      </c>
      <c r="F29" s="3">
        <v>31</v>
      </c>
      <c r="G29" s="3" t="s">
        <v>273</v>
      </c>
      <c r="H29" s="3" t="s">
        <v>273</v>
      </c>
      <c r="I29" s="3">
        <v>65.5</v>
      </c>
      <c r="J29" s="3">
        <v>7.2</v>
      </c>
      <c r="K29" s="3">
        <v>28.4</v>
      </c>
      <c r="L29" s="3">
        <v>11.5</v>
      </c>
      <c r="M29" s="3" t="s">
        <v>273</v>
      </c>
      <c r="N29" s="3" t="s">
        <v>273</v>
      </c>
      <c r="O29" s="3" t="s">
        <v>273</v>
      </c>
      <c r="P29" s="3" t="s">
        <v>273</v>
      </c>
      <c r="Q29" s="3" t="s">
        <v>273</v>
      </c>
      <c r="R29" s="3" t="s">
        <v>273</v>
      </c>
      <c r="S29" s="3">
        <v>1.92</v>
      </c>
      <c r="T29" s="3">
        <v>0.2</v>
      </c>
      <c r="U29" s="3" t="s">
        <v>273</v>
      </c>
      <c r="V29" s="3" t="s">
        <v>273</v>
      </c>
      <c r="W29" s="3" t="s">
        <v>273</v>
      </c>
      <c r="X29" s="3" t="s">
        <v>273</v>
      </c>
      <c r="Y29" s="3" t="s">
        <v>290</v>
      </c>
      <c r="Z29" s="3">
        <v>23</v>
      </c>
      <c r="AA29" s="3">
        <v>64.5</v>
      </c>
      <c r="AB29" s="3">
        <v>8.3000000000000007</v>
      </c>
      <c r="AC29" s="3" t="s">
        <v>331</v>
      </c>
      <c r="AD29" s="3" t="s">
        <v>1271</v>
      </c>
      <c r="AE29" s="3" t="s">
        <v>1272</v>
      </c>
      <c r="AF29" s="3" t="s">
        <v>272</v>
      </c>
      <c r="AG29" t="s">
        <v>1415</v>
      </c>
      <c r="AH29" s="3" t="s">
        <v>1432</v>
      </c>
      <c r="AI29" s="3" t="s">
        <v>910</v>
      </c>
      <c r="AJ29" s="3">
        <v>2000</v>
      </c>
      <c r="AK29" s="3">
        <v>30</v>
      </c>
      <c r="AL29" s="8">
        <v>235</v>
      </c>
      <c r="AM29" s="3">
        <f t="shared" si="1"/>
        <v>7.833333333333333</v>
      </c>
      <c r="AN29" s="3" t="s">
        <v>437</v>
      </c>
      <c r="AO29" s="3">
        <v>3</v>
      </c>
      <c r="AP29" s="3" t="s">
        <v>271</v>
      </c>
      <c r="AQ29" s="3" t="s">
        <v>1444</v>
      </c>
      <c r="AR29" s="3" t="s">
        <v>1444</v>
      </c>
      <c r="AS29" s="3" t="s">
        <v>269</v>
      </c>
      <c r="AT29" s="3" t="s">
        <v>1444</v>
      </c>
      <c r="AU29" s="3" t="s">
        <v>1444</v>
      </c>
      <c r="AV29" s="3" t="s">
        <v>269</v>
      </c>
      <c r="AW29" s="3">
        <v>0.5</v>
      </c>
      <c r="AX29" s="3" t="s">
        <v>273</v>
      </c>
      <c r="AY29" s="3">
        <v>1</v>
      </c>
      <c r="AZ29" s="3" t="s">
        <v>273</v>
      </c>
      <c r="BA29" s="3" t="s">
        <v>273</v>
      </c>
      <c r="BB29" s="3" t="s">
        <v>273</v>
      </c>
      <c r="BC29" t="s">
        <v>273</v>
      </c>
      <c r="BD29" s="3" t="s">
        <v>266</v>
      </c>
      <c r="BE29" s="3" t="s">
        <v>1465</v>
      </c>
      <c r="BF29" s="3" t="s">
        <v>273</v>
      </c>
      <c r="BG29" s="3">
        <v>0.15</v>
      </c>
      <c r="BH29" s="3" t="s">
        <v>273</v>
      </c>
      <c r="BI29" s="3" t="s">
        <v>273</v>
      </c>
      <c r="BJ29" s="3" t="s">
        <v>273</v>
      </c>
      <c r="BK29" t="s">
        <v>1073</v>
      </c>
      <c r="BL29">
        <v>7</v>
      </c>
      <c r="BM29" s="3">
        <v>44</v>
      </c>
      <c r="BN29" t="s">
        <v>1539</v>
      </c>
      <c r="BO29" s="3" t="s">
        <v>687</v>
      </c>
      <c r="BP29" s="3" t="s">
        <v>243</v>
      </c>
      <c r="BQ29" s="3">
        <v>44</v>
      </c>
      <c r="BR29" s="3">
        <v>2</v>
      </c>
      <c r="BS29" s="3" t="s">
        <v>1130</v>
      </c>
      <c r="BT29" s="3">
        <v>2</v>
      </c>
      <c r="BU29" s="3" t="s">
        <v>1134</v>
      </c>
      <c r="BV29" s="3" t="s">
        <v>1468</v>
      </c>
      <c r="BW29" t="s">
        <v>1471</v>
      </c>
      <c r="BX29" s="3" t="s">
        <v>285</v>
      </c>
      <c r="BY29" t="s">
        <v>736</v>
      </c>
      <c r="BZ29" t="s">
        <v>1489</v>
      </c>
      <c r="CA29" t="s">
        <v>1232</v>
      </c>
      <c r="CB29" t="s">
        <v>1526</v>
      </c>
      <c r="CC29" t="s">
        <v>1220</v>
      </c>
      <c r="CD29" t="s">
        <v>1204</v>
      </c>
      <c r="CE29" t="s">
        <v>1233</v>
      </c>
      <c r="CF29" t="s">
        <v>1513</v>
      </c>
      <c r="CG29" t="s">
        <v>1158</v>
      </c>
    </row>
    <row r="30" spans="1:85">
      <c r="A30" s="27" t="s">
        <v>116</v>
      </c>
      <c r="B30" t="s">
        <v>1336</v>
      </c>
      <c r="C30">
        <v>2023</v>
      </c>
      <c r="D30" t="s">
        <v>1365</v>
      </c>
      <c r="E30" t="s">
        <v>119</v>
      </c>
      <c r="F30">
        <v>16</v>
      </c>
      <c r="G30" t="s">
        <v>273</v>
      </c>
      <c r="H30" t="s">
        <v>273</v>
      </c>
      <c r="I30">
        <v>66.599999999999994</v>
      </c>
      <c r="J30">
        <v>8.4</v>
      </c>
      <c r="K30">
        <v>29</v>
      </c>
      <c r="L30" t="s">
        <v>273</v>
      </c>
      <c r="M30">
        <v>29</v>
      </c>
      <c r="N30" t="s">
        <v>1382</v>
      </c>
      <c r="O30" t="s">
        <v>273</v>
      </c>
      <c r="P30" t="s">
        <v>273</v>
      </c>
      <c r="Q30">
        <v>35</v>
      </c>
      <c r="R30" t="s">
        <v>1383</v>
      </c>
      <c r="S30" t="s">
        <v>273</v>
      </c>
      <c r="T30" t="s">
        <v>273</v>
      </c>
      <c r="U30" t="s">
        <v>273</v>
      </c>
      <c r="V30" t="s">
        <v>273</v>
      </c>
      <c r="W30" t="s">
        <v>273</v>
      </c>
      <c r="X30" t="s">
        <v>273</v>
      </c>
      <c r="Y30" t="s">
        <v>290</v>
      </c>
      <c r="Z30">
        <v>18</v>
      </c>
      <c r="AA30">
        <v>67.599999999999994</v>
      </c>
      <c r="AB30">
        <v>7.7</v>
      </c>
      <c r="AC30" t="s">
        <v>331</v>
      </c>
      <c r="AD30" t="s">
        <v>1270</v>
      </c>
      <c r="AE30" t="s">
        <v>1282</v>
      </c>
      <c r="AF30" t="s">
        <v>272</v>
      </c>
      <c r="AG30" t="s">
        <v>1416</v>
      </c>
      <c r="AH30" t="s">
        <v>1432</v>
      </c>
      <c r="AI30" t="s">
        <v>910</v>
      </c>
      <c r="AJ30">
        <v>2200</v>
      </c>
      <c r="AK30">
        <v>30</v>
      </c>
      <c r="AL30">
        <v>300</v>
      </c>
      <c r="AM30">
        <f t="shared" si="1"/>
        <v>11</v>
      </c>
      <c r="AN30" t="s">
        <v>452</v>
      </c>
      <c r="AO30">
        <v>3</v>
      </c>
      <c r="AP30" t="s">
        <v>273</v>
      </c>
      <c r="AQ30" t="s">
        <v>269</v>
      </c>
      <c r="AR30" t="s">
        <v>269</v>
      </c>
      <c r="AS30" t="s">
        <v>269</v>
      </c>
      <c r="AT30" t="s">
        <v>1444</v>
      </c>
      <c r="AU30" t="s">
        <v>1444</v>
      </c>
      <c r="AV30" t="s">
        <v>269</v>
      </c>
      <c r="AW30" t="s">
        <v>273</v>
      </c>
      <c r="AX30" t="s">
        <v>273</v>
      </c>
      <c r="AY30" t="s">
        <v>273</v>
      </c>
      <c r="AZ30" t="s">
        <v>273</v>
      </c>
      <c r="BA30" t="s">
        <v>273</v>
      </c>
      <c r="BB30" t="s">
        <v>273</v>
      </c>
      <c r="BC30" t="s">
        <v>273</v>
      </c>
      <c r="BD30" t="s">
        <v>270</v>
      </c>
      <c r="BE30" t="s">
        <v>1465</v>
      </c>
      <c r="BF30" t="s">
        <v>273</v>
      </c>
      <c r="BG30">
        <v>0.15</v>
      </c>
      <c r="BH30" t="s">
        <v>273</v>
      </c>
      <c r="BI30" t="s">
        <v>273</v>
      </c>
      <c r="BJ30" t="s">
        <v>273</v>
      </c>
      <c r="BK30" t="s">
        <v>1073</v>
      </c>
      <c r="BL30">
        <v>4</v>
      </c>
      <c r="BM30">
        <v>10</v>
      </c>
      <c r="BN30" t="s">
        <v>1548</v>
      </c>
      <c r="BO30" s="3" t="s">
        <v>687</v>
      </c>
      <c r="BP30" s="3" t="s">
        <v>243</v>
      </c>
      <c r="BQ30">
        <v>44</v>
      </c>
      <c r="BR30">
        <v>2.2000000000000002</v>
      </c>
      <c r="BS30" s="3" t="s">
        <v>1130</v>
      </c>
      <c r="BT30">
        <v>4</v>
      </c>
      <c r="BU30" t="s">
        <v>1135</v>
      </c>
      <c r="BV30" s="3" t="s">
        <v>1468</v>
      </c>
      <c r="BW30" t="s">
        <v>273</v>
      </c>
      <c r="BX30" t="s">
        <v>736</v>
      </c>
      <c r="BY30" t="s">
        <v>736</v>
      </c>
      <c r="BZ30" t="s">
        <v>1492</v>
      </c>
      <c r="CA30" t="s">
        <v>1188</v>
      </c>
      <c r="CB30" t="s">
        <v>1234</v>
      </c>
      <c r="CC30" t="s">
        <v>1218</v>
      </c>
      <c r="CD30" t="s">
        <v>1211</v>
      </c>
      <c r="CE30" t="s">
        <v>1211</v>
      </c>
      <c r="CF30" t="s">
        <v>1253</v>
      </c>
      <c r="CG30" t="s">
        <v>1159</v>
      </c>
    </row>
    <row r="31" spans="1:85">
      <c r="A31" s="27" t="s">
        <v>116</v>
      </c>
      <c r="B31" t="s">
        <v>1336</v>
      </c>
      <c r="C31">
        <v>2023</v>
      </c>
      <c r="D31" s="3" t="s">
        <v>1365</v>
      </c>
      <c r="E31" t="s">
        <v>119</v>
      </c>
      <c r="F31">
        <v>16</v>
      </c>
      <c r="G31" t="s">
        <v>273</v>
      </c>
      <c r="H31" t="s">
        <v>273</v>
      </c>
      <c r="I31">
        <v>65.8</v>
      </c>
      <c r="J31">
        <v>7</v>
      </c>
      <c r="K31">
        <v>26</v>
      </c>
      <c r="L31" t="s">
        <v>273</v>
      </c>
      <c r="M31">
        <v>26</v>
      </c>
      <c r="N31" t="s">
        <v>1384</v>
      </c>
      <c r="O31" t="s">
        <v>273</v>
      </c>
      <c r="P31" t="s">
        <v>273</v>
      </c>
      <c r="Q31">
        <v>42.5</v>
      </c>
      <c r="R31" t="s">
        <v>1385</v>
      </c>
      <c r="S31" t="s">
        <v>273</v>
      </c>
      <c r="T31" t="s">
        <v>273</v>
      </c>
      <c r="U31" t="s">
        <v>273</v>
      </c>
      <c r="V31" t="s">
        <v>273</v>
      </c>
      <c r="W31" t="s">
        <v>273</v>
      </c>
      <c r="X31" t="s">
        <v>273</v>
      </c>
      <c r="Y31" t="s">
        <v>290</v>
      </c>
      <c r="Z31">
        <v>18</v>
      </c>
      <c r="AA31">
        <v>67.599999999999994</v>
      </c>
      <c r="AB31">
        <v>7.7</v>
      </c>
      <c r="AC31" t="s">
        <v>331</v>
      </c>
      <c r="AD31" t="s">
        <v>1270</v>
      </c>
      <c r="AE31" t="s">
        <v>1282</v>
      </c>
      <c r="AF31" t="s">
        <v>272</v>
      </c>
      <c r="AG31" t="s">
        <v>1416</v>
      </c>
      <c r="AH31" t="s">
        <v>1432</v>
      </c>
      <c r="AI31" t="s">
        <v>910</v>
      </c>
      <c r="AJ31">
        <v>2200</v>
      </c>
      <c r="AK31">
        <v>30</v>
      </c>
      <c r="AL31">
        <v>300</v>
      </c>
      <c r="AM31">
        <f t="shared" si="1"/>
        <v>11</v>
      </c>
      <c r="AN31" t="s">
        <v>452</v>
      </c>
      <c r="AO31">
        <v>3</v>
      </c>
      <c r="AP31" t="s">
        <v>273</v>
      </c>
      <c r="AQ31" t="s">
        <v>269</v>
      </c>
      <c r="AR31" t="s">
        <v>269</v>
      </c>
      <c r="AS31" t="s">
        <v>269</v>
      </c>
      <c r="AT31" t="s">
        <v>1444</v>
      </c>
      <c r="AU31" t="s">
        <v>1444</v>
      </c>
      <c r="AV31" t="s">
        <v>269</v>
      </c>
      <c r="AW31" t="s">
        <v>273</v>
      </c>
      <c r="AX31" t="s">
        <v>273</v>
      </c>
      <c r="AY31" t="s">
        <v>273</v>
      </c>
      <c r="AZ31" t="s">
        <v>273</v>
      </c>
      <c r="BA31" t="s">
        <v>273</v>
      </c>
      <c r="BB31" t="s">
        <v>273</v>
      </c>
      <c r="BC31" t="s">
        <v>273</v>
      </c>
      <c r="BD31" t="s">
        <v>270</v>
      </c>
      <c r="BE31" t="s">
        <v>1465</v>
      </c>
      <c r="BF31" t="s">
        <v>273</v>
      </c>
      <c r="BG31">
        <v>0.15</v>
      </c>
      <c r="BH31" t="s">
        <v>273</v>
      </c>
      <c r="BI31" t="s">
        <v>273</v>
      </c>
      <c r="BJ31" t="s">
        <v>273</v>
      </c>
      <c r="BK31" t="s">
        <v>1073</v>
      </c>
      <c r="BL31">
        <v>4</v>
      </c>
      <c r="BM31">
        <v>10</v>
      </c>
      <c r="BN31" t="s">
        <v>1548</v>
      </c>
      <c r="BO31" s="3" t="s">
        <v>687</v>
      </c>
      <c r="BP31" s="3" t="s">
        <v>243</v>
      </c>
      <c r="BQ31">
        <v>44</v>
      </c>
      <c r="BR31">
        <v>2.2000000000000002</v>
      </c>
      <c r="BS31" s="3" t="s">
        <v>1130</v>
      </c>
      <c r="BT31">
        <v>4</v>
      </c>
      <c r="BU31" t="s">
        <v>1135</v>
      </c>
      <c r="BV31" s="3" t="s">
        <v>1468</v>
      </c>
      <c r="BW31" t="s">
        <v>273</v>
      </c>
      <c r="BX31" t="s">
        <v>736</v>
      </c>
      <c r="BY31" t="s">
        <v>736</v>
      </c>
      <c r="BZ31" t="s">
        <v>1492</v>
      </c>
      <c r="CA31" t="s">
        <v>1188</v>
      </c>
      <c r="CB31" t="s">
        <v>1234</v>
      </c>
      <c r="CC31" t="s">
        <v>1218</v>
      </c>
      <c r="CD31" t="s">
        <v>1211</v>
      </c>
      <c r="CE31" t="s">
        <v>1211</v>
      </c>
      <c r="CF31" t="s">
        <v>1253</v>
      </c>
      <c r="CG31" t="s">
        <v>1159</v>
      </c>
    </row>
    <row r="32" spans="1:85">
      <c r="A32" s="3" t="s">
        <v>120</v>
      </c>
      <c r="B32" s="3" t="s">
        <v>1337</v>
      </c>
      <c r="C32" s="3">
        <v>2020</v>
      </c>
      <c r="D32" s="3" t="s">
        <v>1365</v>
      </c>
      <c r="E32" s="3" t="s">
        <v>122</v>
      </c>
      <c r="F32" s="3">
        <v>16</v>
      </c>
      <c r="G32" s="3" t="s">
        <v>273</v>
      </c>
      <c r="H32" s="3" t="s">
        <v>273</v>
      </c>
      <c r="I32" s="3">
        <v>61.25</v>
      </c>
      <c r="J32" s="3">
        <v>8.1999999999999993</v>
      </c>
      <c r="K32" s="3" t="s">
        <v>273</v>
      </c>
      <c r="L32" s="3" t="s">
        <v>273</v>
      </c>
      <c r="M32" s="3" t="s">
        <v>273</v>
      </c>
      <c r="N32" s="3" t="s">
        <v>273</v>
      </c>
      <c r="O32" s="3">
        <v>20.350000000000001</v>
      </c>
      <c r="P32" s="3">
        <v>9.4</v>
      </c>
      <c r="Q32" s="3" t="s">
        <v>273</v>
      </c>
      <c r="R32" s="3" t="s">
        <v>273</v>
      </c>
      <c r="S32" s="3" t="s">
        <v>273</v>
      </c>
      <c r="T32" s="3" t="s">
        <v>273</v>
      </c>
      <c r="U32" s="3">
        <v>2</v>
      </c>
      <c r="V32" s="3" t="s">
        <v>1386</v>
      </c>
      <c r="W32" s="3" t="s">
        <v>273</v>
      </c>
      <c r="X32" s="3" t="s">
        <v>273</v>
      </c>
      <c r="Y32" s="3" t="s">
        <v>290</v>
      </c>
      <c r="Z32" s="3">
        <v>17</v>
      </c>
      <c r="AA32" s="3">
        <v>63.5</v>
      </c>
      <c r="AB32" s="3">
        <v>9.6999999999999993</v>
      </c>
      <c r="AC32" s="3" t="s">
        <v>331</v>
      </c>
      <c r="AD32" s="3" t="s">
        <v>1274</v>
      </c>
      <c r="AE32" s="3" t="s">
        <v>1110</v>
      </c>
      <c r="AF32" s="3" t="s">
        <v>272</v>
      </c>
      <c r="AG32" t="s">
        <v>1417</v>
      </c>
      <c r="AH32" s="3" t="s">
        <v>1432</v>
      </c>
      <c r="AI32" s="3" t="s">
        <v>910</v>
      </c>
      <c r="AJ32" s="3">
        <v>2140</v>
      </c>
      <c r="AK32" s="3">
        <v>25</v>
      </c>
      <c r="AL32" s="3">
        <v>300</v>
      </c>
      <c r="AM32" s="3">
        <f t="shared" si="1"/>
        <v>10.7</v>
      </c>
      <c r="AN32" s="3" t="s">
        <v>460</v>
      </c>
      <c r="AO32" s="3">
        <v>3</v>
      </c>
      <c r="AP32" s="3" t="s">
        <v>273</v>
      </c>
      <c r="AQ32" s="3" t="s">
        <v>269</v>
      </c>
      <c r="AR32" s="3" t="s">
        <v>269</v>
      </c>
      <c r="AS32" s="3" t="s">
        <v>269</v>
      </c>
      <c r="AT32" s="3" t="s">
        <v>1444</v>
      </c>
      <c r="AU32" s="3" t="s">
        <v>1444</v>
      </c>
      <c r="AV32" s="3" t="s">
        <v>269</v>
      </c>
      <c r="AW32" s="3">
        <v>0.5</v>
      </c>
      <c r="AX32" s="8">
        <v>3</v>
      </c>
      <c r="AY32" s="3">
        <v>3</v>
      </c>
      <c r="AZ32" s="3">
        <v>3</v>
      </c>
      <c r="BA32" s="3" t="s">
        <v>273</v>
      </c>
      <c r="BB32" s="8" t="s">
        <v>1666</v>
      </c>
      <c r="BC32" t="s">
        <v>273</v>
      </c>
      <c r="BD32" s="3" t="s">
        <v>270</v>
      </c>
      <c r="BE32" s="3" t="s">
        <v>1465</v>
      </c>
      <c r="BF32" s="3" t="s">
        <v>273</v>
      </c>
      <c r="BG32" s="3">
        <v>0.15</v>
      </c>
      <c r="BH32" s="3" t="s">
        <v>273</v>
      </c>
      <c r="BI32" s="3" t="s">
        <v>273</v>
      </c>
      <c r="BJ32" s="3" t="s">
        <v>273</v>
      </c>
      <c r="BK32" t="s">
        <v>1073</v>
      </c>
      <c r="BL32">
        <v>7</v>
      </c>
      <c r="BM32" s="3">
        <v>40</v>
      </c>
      <c r="BN32" t="s">
        <v>1549</v>
      </c>
      <c r="BO32" s="3" t="s">
        <v>687</v>
      </c>
      <c r="BP32" s="3" t="s">
        <v>243</v>
      </c>
      <c r="BQ32" s="3">
        <v>47</v>
      </c>
      <c r="BR32" s="3">
        <v>2.14</v>
      </c>
      <c r="BS32" s="3" t="s">
        <v>1130</v>
      </c>
      <c r="BT32" s="3">
        <v>4</v>
      </c>
      <c r="BU32" s="3" t="s">
        <v>1136</v>
      </c>
      <c r="BV32" s="3" t="s">
        <v>1468</v>
      </c>
      <c r="BW32" s="3" t="s">
        <v>1472</v>
      </c>
      <c r="BX32" s="3"/>
      <c r="BY32" t="s">
        <v>736</v>
      </c>
      <c r="BZ32" t="s">
        <v>1493</v>
      </c>
      <c r="CA32" t="s">
        <v>1211</v>
      </c>
      <c r="CB32" t="s">
        <v>1527</v>
      </c>
      <c r="CC32" t="s">
        <v>1218</v>
      </c>
      <c r="CD32" t="s">
        <v>1211</v>
      </c>
      <c r="CE32" t="s">
        <v>1211</v>
      </c>
      <c r="CF32" t="s">
        <v>1514</v>
      </c>
      <c r="CG32" t="s">
        <v>1159</v>
      </c>
    </row>
    <row r="33" spans="1:85">
      <c r="A33" s="3" t="s">
        <v>120</v>
      </c>
      <c r="B33" s="3" t="s">
        <v>1337</v>
      </c>
      <c r="C33" s="3">
        <v>2020</v>
      </c>
      <c r="D33" t="s">
        <v>1365</v>
      </c>
      <c r="E33" s="3" t="s">
        <v>122</v>
      </c>
      <c r="F33" s="3">
        <v>20</v>
      </c>
      <c r="G33" s="3" t="s">
        <v>273</v>
      </c>
      <c r="H33" s="3" t="s">
        <v>273</v>
      </c>
      <c r="I33" s="3">
        <v>63.45</v>
      </c>
      <c r="J33" s="3">
        <v>8.1</v>
      </c>
      <c r="K33" s="3" t="s">
        <v>273</v>
      </c>
      <c r="L33" s="3" t="s">
        <v>273</v>
      </c>
      <c r="M33" s="3" t="s">
        <v>273</v>
      </c>
      <c r="N33" s="3" t="s">
        <v>273</v>
      </c>
      <c r="O33" s="3">
        <v>25.93</v>
      </c>
      <c r="P33" s="3">
        <v>7</v>
      </c>
      <c r="Q33" s="3" t="s">
        <v>273</v>
      </c>
      <c r="R33" s="3" t="s">
        <v>273</v>
      </c>
      <c r="S33" s="3" t="s">
        <v>273</v>
      </c>
      <c r="T33" s="3" t="s">
        <v>273</v>
      </c>
      <c r="U33" s="3">
        <v>2</v>
      </c>
      <c r="V33" s="3" t="s">
        <v>1387</v>
      </c>
      <c r="W33" s="3" t="s">
        <v>273</v>
      </c>
      <c r="X33" s="3" t="s">
        <v>273</v>
      </c>
      <c r="Y33" s="3" t="s">
        <v>290</v>
      </c>
      <c r="Z33" s="3">
        <v>17</v>
      </c>
      <c r="AA33" s="3">
        <v>63.5</v>
      </c>
      <c r="AB33" s="3">
        <v>9.6999999999999993</v>
      </c>
      <c r="AC33" s="3" t="s">
        <v>331</v>
      </c>
      <c r="AD33" s="3" t="s">
        <v>1274</v>
      </c>
      <c r="AE33" s="3" t="s">
        <v>1110</v>
      </c>
      <c r="AF33" s="3" t="s">
        <v>272</v>
      </c>
      <c r="AG33" t="s">
        <v>1417</v>
      </c>
      <c r="AH33" s="3" t="s">
        <v>1432</v>
      </c>
      <c r="AI33" s="3" t="s">
        <v>910</v>
      </c>
      <c r="AJ33" s="3">
        <v>2140</v>
      </c>
      <c r="AK33" s="3">
        <v>25</v>
      </c>
      <c r="AL33" s="3">
        <v>300</v>
      </c>
      <c r="AM33" s="3">
        <f t="shared" si="1"/>
        <v>10.7</v>
      </c>
      <c r="AN33" s="3" t="s">
        <v>460</v>
      </c>
      <c r="AO33" s="3">
        <v>3</v>
      </c>
      <c r="AP33" s="3" t="s">
        <v>273</v>
      </c>
      <c r="AQ33" s="3" t="s">
        <v>269</v>
      </c>
      <c r="AR33" s="3" t="s">
        <v>269</v>
      </c>
      <c r="AS33" s="3" t="s">
        <v>269</v>
      </c>
      <c r="AT33" s="3" t="s">
        <v>1444</v>
      </c>
      <c r="AU33" s="3" t="s">
        <v>1444</v>
      </c>
      <c r="AV33" s="3" t="s">
        <v>269</v>
      </c>
      <c r="AW33" s="3">
        <v>0.5</v>
      </c>
      <c r="AX33" s="8">
        <v>3</v>
      </c>
      <c r="AY33" s="3">
        <v>3</v>
      </c>
      <c r="AZ33" s="3">
        <v>3</v>
      </c>
      <c r="BA33" s="3" t="s">
        <v>273</v>
      </c>
      <c r="BB33" s="8" t="s">
        <v>1666</v>
      </c>
      <c r="BC33" t="s">
        <v>273</v>
      </c>
      <c r="BD33" s="3" t="s">
        <v>270</v>
      </c>
      <c r="BE33" s="3" t="s">
        <v>1465</v>
      </c>
      <c r="BF33" s="3" t="s">
        <v>273</v>
      </c>
      <c r="BG33" s="3">
        <v>0.15</v>
      </c>
      <c r="BH33" s="3" t="s">
        <v>273</v>
      </c>
      <c r="BI33" s="3" t="s">
        <v>273</v>
      </c>
      <c r="BJ33" s="3" t="s">
        <v>273</v>
      </c>
      <c r="BK33" t="s">
        <v>1073</v>
      </c>
      <c r="BL33">
        <v>7</v>
      </c>
      <c r="BM33" s="3">
        <v>40</v>
      </c>
      <c r="BN33" t="s">
        <v>1549</v>
      </c>
      <c r="BO33" s="3" t="s">
        <v>687</v>
      </c>
      <c r="BP33" s="3" t="s">
        <v>243</v>
      </c>
      <c r="BQ33" s="3">
        <v>47</v>
      </c>
      <c r="BR33" s="3">
        <v>2.14</v>
      </c>
      <c r="BS33" s="3" t="s">
        <v>1130</v>
      </c>
      <c r="BT33" s="3">
        <v>4</v>
      </c>
      <c r="BU33" s="3" t="s">
        <v>1136</v>
      </c>
      <c r="BV33" s="3" t="s">
        <v>1468</v>
      </c>
      <c r="BW33" s="3" t="s">
        <v>1472</v>
      </c>
      <c r="BX33" s="3"/>
      <c r="BY33" t="s">
        <v>736</v>
      </c>
      <c r="BZ33" t="s">
        <v>1493</v>
      </c>
      <c r="CA33" t="s">
        <v>1211</v>
      </c>
      <c r="CB33" t="s">
        <v>1527</v>
      </c>
      <c r="CC33" t="s">
        <v>1218</v>
      </c>
      <c r="CD33" t="s">
        <v>1211</v>
      </c>
      <c r="CE33" t="s">
        <v>1211</v>
      </c>
      <c r="CF33" t="s">
        <v>1514</v>
      </c>
      <c r="CG33" t="s">
        <v>1159</v>
      </c>
    </row>
    <row r="34" spans="1:85">
      <c r="A34" s="27" t="s">
        <v>123</v>
      </c>
      <c r="B34" t="s">
        <v>1338</v>
      </c>
      <c r="C34">
        <v>2025</v>
      </c>
      <c r="D34" t="s">
        <v>1366</v>
      </c>
      <c r="E34" t="s">
        <v>126</v>
      </c>
      <c r="F34">
        <v>15</v>
      </c>
      <c r="G34" t="s">
        <v>273</v>
      </c>
      <c r="H34" t="s">
        <v>273</v>
      </c>
      <c r="I34">
        <v>69.900000000000006</v>
      </c>
      <c r="J34">
        <v>9.3000000000000007</v>
      </c>
      <c r="K34">
        <v>29.7</v>
      </c>
      <c r="L34">
        <v>9.5</v>
      </c>
      <c r="M34" t="s">
        <v>273</v>
      </c>
      <c r="N34" t="s">
        <v>273</v>
      </c>
      <c r="O34" t="s">
        <v>273</v>
      </c>
      <c r="P34" t="s">
        <v>273</v>
      </c>
      <c r="Q34" t="s">
        <v>273</v>
      </c>
      <c r="R34" t="s">
        <v>273</v>
      </c>
      <c r="S34">
        <v>2.4</v>
      </c>
      <c r="T34">
        <v>0.6</v>
      </c>
      <c r="U34" t="s">
        <v>273</v>
      </c>
      <c r="V34" t="s">
        <v>273</v>
      </c>
      <c r="W34" t="s">
        <v>273</v>
      </c>
      <c r="X34" t="s">
        <v>273</v>
      </c>
      <c r="Y34" t="s">
        <v>290</v>
      </c>
      <c r="Z34">
        <v>22</v>
      </c>
      <c r="AA34">
        <v>70.7</v>
      </c>
      <c r="AB34">
        <v>7.5</v>
      </c>
      <c r="AC34" t="s">
        <v>331</v>
      </c>
      <c r="AD34" t="s">
        <v>1274</v>
      </c>
      <c r="AE34" t="s">
        <v>1280</v>
      </c>
      <c r="AF34" t="s">
        <v>272</v>
      </c>
      <c r="AG34" t="s">
        <v>1418</v>
      </c>
      <c r="AH34" t="s">
        <v>1432</v>
      </c>
      <c r="AI34" t="s">
        <v>910</v>
      </c>
      <c r="AJ34">
        <v>2000</v>
      </c>
      <c r="AK34">
        <v>29</v>
      </c>
      <c r="AL34">
        <v>196</v>
      </c>
      <c r="AM34">
        <f t="shared" si="1"/>
        <v>6.5333333333333332</v>
      </c>
      <c r="AO34">
        <v>3</v>
      </c>
      <c r="AP34" t="s">
        <v>1445</v>
      </c>
      <c r="AQ34" t="s">
        <v>269</v>
      </c>
      <c r="AR34" t="s">
        <v>269</v>
      </c>
      <c r="AS34" t="s">
        <v>1444</v>
      </c>
      <c r="AT34" t="s">
        <v>269</v>
      </c>
      <c r="AU34" t="s">
        <v>269</v>
      </c>
      <c r="AV34" t="s">
        <v>269</v>
      </c>
      <c r="AW34" t="s">
        <v>273</v>
      </c>
      <c r="AX34" t="s">
        <v>273</v>
      </c>
      <c r="AY34" t="s">
        <v>273</v>
      </c>
      <c r="AZ34" t="s">
        <v>273</v>
      </c>
      <c r="BA34" t="s">
        <v>273</v>
      </c>
      <c r="BB34" t="s">
        <v>273</v>
      </c>
      <c r="BC34" t="s">
        <v>273</v>
      </c>
      <c r="BD34" t="s">
        <v>266</v>
      </c>
      <c r="BE34" t="s">
        <v>1466</v>
      </c>
      <c r="BF34" t="s">
        <v>273</v>
      </c>
      <c r="BG34" t="s">
        <v>273</v>
      </c>
      <c r="BH34" t="s">
        <v>273</v>
      </c>
      <c r="BI34" t="s">
        <v>273</v>
      </c>
      <c r="BJ34" t="s">
        <v>273</v>
      </c>
      <c r="BK34" t="s">
        <v>1073</v>
      </c>
      <c r="BL34">
        <v>11</v>
      </c>
      <c r="BM34">
        <v>30</v>
      </c>
      <c r="BN34" t="s">
        <v>1550</v>
      </c>
      <c r="BO34" s="3" t="s">
        <v>687</v>
      </c>
      <c r="BP34" s="3" t="s">
        <v>243</v>
      </c>
      <c r="BQ34">
        <v>52</v>
      </c>
      <c r="BR34">
        <v>2</v>
      </c>
      <c r="BS34" s="3" t="s">
        <v>1130</v>
      </c>
      <c r="BT34">
        <v>3</v>
      </c>
      <c r="BU34" t="s">
        <v>994</v>
      </c>
      <c r="BV34" t="s">
        <v>998</v>
      </c>
      <c r="BW34" t="s">
        <v>273</v>
      </c>
      <c r="BX34" t="s">
        <v>480</v>
      </c>
      <c r="BY34" t="s">
        <v>479</v>
      </c>
      <c r="BZ34" t="s">
        <v>1494</v>
      </c>
      <c r="CA34" t="s">
        <v>1528</v>
      </c>
      <c r="CB34" t="s">
        <v>1529</v>
      </c>
      <c r="CC34" t="s">
        <v>1218</v>
      </c>
      <c r="CD34" t="s">
        <v>1211</v>
      </c>
      <c r="CE34" t="s">
        <v>1211</v>
      </c>
      <c r="CF34" t="s">
        <v>1254</v>
      </c>
      <c r="CG34" t="s">
        <v>1160</v>
      </c>
    </row>
    <row r="35" spans="1:85">
      <c r="A35" s="27" t="s">
        <v>123</v>
      </c>
      <c r="B35" t="s">
        <v>1338</v>
      </c>
      <c r="C35">
        <v>2025</v>
      </c>
      <c r="D35" s="3" t="s">
        <v>1366</v>
      </c>
      <c r="E35" t="s">
        <v>126</v>
      </c>
      <c r="F35">
        <v>18</v>
      </c>
      <c r="G35" t="s">
        <v>273</v>
      </c>
      <c r="H35" t="s">
        <v>273</v>
      </c>
      <c r="I35">
        <v>65.900000000000006</v>
      </c>
      <c r="J35">
        <v>5.2</v>
      </c>
      <c r="K35">
        <v>24.8</v>
      </c>
      <c r="L35">
        <v>10.9</v>
      </c>
      <c r="M35" t="s">
        <v>273</v>
      </c>
      <c r="N35" t="s">
        <v>273</v>
      </c>
      <c r="O35" t="s">
        <v>273</v>
      </c>
      <c r="P35" t="s">
        <v>273</v>
      </c>
      <c r="Q35" t="s">
        <v>273</v>
      </c>
      <c r="R35" t="s">
        <v>273</v>
      </c>
      <c r="S35">
        <v>2.4</v>
      </c>
      <c r="T35">
        <v>0.6</v>
      </c>
      <c r="U35" t="s">
        <v>273</v>
      </c>
      <c r="V35" t="s">
        <v>273</v>
      </c>
      <c r="W35" t="s">
        <v>273</v>
      </c>
      <c r="X35" t="s">
        <v>273</v>
      </c>
      <c r="Y35" t="s">
        <v>290</v>
      </c>
      <c r="Z35">
        <v>22</v>
      </c>
      <c r="AA35">
        <v>70.7</v>
      </c>
      <c r="AB35">
        <v>7.5</v>
      </c>
      <c r="AC35" t="s">
        <v>331</v>
      </c>
      <c r="AD35" t="s">
        <v>1274</v>
      </c>
      <c r="AE35" t="s">
        <v>1280</v>
      </c>
      <c r="AF35" t="s">
        <v>272</v>
      </c>
      <c r="AG35" t="s">
        <v>1418</v>
      </c>
      <c r="AH35" t="s">
        <v>1432</v>
      </c>
      <c r="AI35" t="s">
        <v>910</v>
      </c>
      <c r="AJ35">
        <v>2000</v>
      </c>
      <c r="AK35">
        <v>29</v>
      </c>
      <c r="AL35">
        <v>196</v>
      </c>
      <c r="AM35">
        <f t="shared" si="1"/>
        <v>6.5333333333333332</v>
      </c>
      <c r="AO35">
        <v>3</v>
      </c>
      <c r="AP35" t="s">
        <v>1445</v>
      </c>
      <c r="AQ35" t="s">
        <v>269</v>
      </c>
      <c r="AR35" t="s">
        <v>269</v>
      </c>
      <c r="AS35" t="s">
        <v>1444</v>
      </c>
      <c r="AT35" t="s">
        <v>269</v>
      </c>
      <c r="AU35" t="s">
        <v>269</v>
      </c>
      <c r="AV35" t="s">
        <v>269</v>
      </c>
      <c r="AW35" t="s">
        <v>273</v>
      </c>
      <c r="AX35" t="s">
        <v>273</v>
      </c>
      <c r="AY35" t="s">
        <v>273</v>
      </c>
      <c r="AZ35" t="s">
        <v>273</v>
      </c>
      <c r="BA35" t="s">
        <v>273</v>
      </c>
      <c r="BB35" t="s">
        <v>273</v>
      </c>
      <c r="BC35" t="s">
        <v>273</v>
      </c>
      <c r="BD35" t="s">
        <v>266</v>
      </c>
      <c r="BE35" t="s">
        <v>1466</v>
      </c>
      <c r="BF35" t="s">
        <v>273</v>
      </c>
      <c r="BG35" t="s">
        <v>273</v>
      </c>
      <c r="BH35" t="s">
        <v>273</v>
      </c>
      <c r="BI35" t="s">
        <v>273</v>
      </c>
      <c r="BJ35" t="s">
        <v>273</v>
      </c>
      <c r="BK35" t="s">
        <v>1073</v>
      </c>
      <c r="BL35">
        <v>11</v>
      </c>
      <c r="BM35">
        <v>30</v>
      </c>
      <c r="BN35" t="s">
        <v>1550</v>
      </c>
      <c r="BO35" s="3" t="s">
        <v>687</v>
      </c>
      <c r="BP35" s="3" t="s">
        <v>243</v>
      </c>
      <c r="BQ35">
        <v>52</v>
      </c>
      <c r="BR35">
        <v>2</v>
      </c>
      <c r="BS35" s="3" t="s">
        <v>1130</v>
      </c>
      <c r="BT35">
        <v>3</v>
      </c>
      <c r="BU35" t="s">
        <v>994</v>
      </c>
      <c r="BV35" t="s">
        <v>998</v>
      </c>
      <c r="BW35" t="s">
        <v>273</v>
      </c>
      <c r="BX35" t="s">
        <v>480</v>
      </c>
      <c r="BY35" t="s">
        <v>479</v>
      </c>
      <c r="BZ35" t="s">
        <v>1494</v>
      </c>
      <c r="CA35" t="s">
        <v>1528</v>
      </c>
      <c r="CB35" t="s">
        <v>1529</v>
      </c>
      <c r="CC35" t="s">
        <v>1218</v>
      </c>
      <c r="CD35" t="s">
        <v>1211</v>
      </c>
      <c r="CE35" t="s">
        <v>1211</v>
      </c>
      <c r="CF35" t="s">
        <v>1254</v>
      </c>
      <c r="CG35" t="s">
        <v>1160</v>
      </c>
    </row>
    <row r="36" spans="1:85">
      <c r="A36" s="3" t="s">
        <v>127</v>
      </c>
      <c r="B36" s="3" t="s">
        <v>1339</v>
      </c>
      <c r="C36" s="3">
        <v>2018</v>
      </c>
      <c r="D36" s="3" t="s">
        <v>1366</v>
      </c>
      <c r="E36" s="3" t="s">
        <v>129</v>
      </c>
      <c r="F36" s="3">
        <v>23</v>
      </c>
      <c r="G36" s="3" t="s">
        <v>273</v>
      </c>
      <c r="H36" s="3" t="s">
        <v>273</v>
      </c>
      <c r="I36" s="3">
        <v>69.17</v>
      </c>
      <c r="J36" s="3">
        <v>4.4800000000000004</v>
      </c>
      <c r="K36" s="3">
        <v>22.65</v>
      </c>
      <c r="L36" s="3">
        <v>11.08</v>
      </c>
      <c r="M36" s="3" t="s">
        <v>273</v>
      </c>
      <c r="N36" s="3" t="s">
        <v>273</v>
      </c>
      <c r="O36" s="3" t="s">
        <v>273</v>
      </c>
      <c r="P36" s="3" t="s">
        <v>273</v>
      </c>
      <c r="Q36" s="3" t="s">
        <v>273</v>
      </c>
      <c r="R36" s="3" t="s">
        <v>273</v>
      </c>
      <c r="S36" s="3" t="s">
        <v>273</v>
      </c>
      <c r="T36" s="3" t="s">
        <v>273</v>
      </c>
      <c r="U36" s="3">
        <v>1.93</v>
      </c>
      <c r="V36" s="3">
        <v>0.5</v>
      </c>
      <c r="W36" s="3" t="s">
        <v>273</v>
      </c>
      <c r="X36" s="3" t="s">
        <v>273</v>
      </c>
      <c r="Y36" s="3" t="s">
        <v>290</v>
      </c>
      <c r="Z36" s="3">
        <v>26</v>
      </c>
      <c r="AA36" s="3">
        <v>68.31</v>
      </c>
      <c r="AB36" s="3">
        <v>7.52</v>
      </c>
      <c r="AC36" s="3" t="s">
        <v>331</v>
      </c>
      <c r="AD36" s="3" t="s">
        <v>1274</v>
      </c>
      <c r="AE36" s="3" t="s">
        <v>1280</v>
      </c>
      <c r="AF36" s="3" t="s">
        <v>272</v>
      </c>
      <c r="AG36" s="3" t="s">
        <v>1419</v>
      </c>
      <c r="AH36" s="3" t="s">
        <v>1432</v>
      </c>
      <c r="AI36" s="3" t="s">
        <v>910</v>
      </c>
      <c r="AJ36" s="3">
        <v>2100</v>
      </c>
      <c r="AK36" s="3">
        <v>16</v>
      </c>
      <c r="AL36" s="3">
        <v>220</v>
      </c>
      <c r="AM36" s="3">
        <f t="shared" si="1"/>
        <v>7.7</v>
      </c>
      <c r="AN36" s="3" t="s">
        <v>366</v>
      </c>
      <c r="AO36" s="3">
        <v>3</v>
      </c>
      <c r="AP36" s="3" t="s">
        <v>271</v>
      </c>
      <c r="AQ36" s="3" t="s">
        <v>269</v>
      </c>
      <c r="AR36" s="3" t="s">
        <v>1444</v>
      </c>
      <c r="AS36" s="3" t="s">
        <v>269</v>
      </c>
      <c r="AT36" s="3" t="s">
        <v>1444</v>
      </c>
      <c r="AU36" s="3" t="s">
        <v>269</v>
      </c>
      <c r="AV36" s="3" t="s">
        <v>269</v>
      </c>
      <c r="AW36" s="3">
        <v>0.5</v>
      </c>
      <c r="AX36" s="3" t="s">
        <v>273</v>
      </c>
      <c r="AY36" s="3" t="s">
        <v>273</v>
      </c>
      <c r="AZ36" s="3" t="s">
        <v>273</v>
      </c>
      <c r="BA36" s="3" t="s">
        <v>273</v>
      </c>
      <c r="BB36" s="3" t="s">
        <v>273</v>
      </c>
      <c r="BC36" t="s">
        <v>273</v>
      </c>
      <c r="BD36" s="3" t="s">
        <v>266</v>
      </c>
      <c r="BE36" s="3" t="s">
        <v>1464</v>
      </c>
      <c r="BF36" s="3">
        <v>8.0000000000000002E-3</v>
      </c>
      <c r="BG36" s="3">
        <v>0.09</v>
      </c>
      <c r="BH36" s="3" t="s">
        <v>1465</v>
      </c>
      <c r="BI36" s="3" t="s">
        <v>273</v>
      </c>
      <c r="BJ36" s="3">
        <v>0.15</v>
      </c>
      <c r="BK36" t="s">
        <v>1073</v>
      </c>
      <c r="BL36">
        <v>7</v>
      </c>
      <c r="BM36" s="3">
        <v>29</v>
      </c>
      <c r="BN36" t="s">
        <v>1551</v>
      </c>
      <c r="BO36" s="3" t="s">
        <v>687</v>
      </c>
      <c r="BP36" s="3" t="s">
        <v>243</v>
      </c>
      <c r="BQ36" s="3">
        <v>46.2</v>
      </c>
      <c r="BR36" s="3">
        <v>2.2000000000000002</v>
      </c>
      <c r="BS36" s="3" t="s">
        <v>1130</v>
      </c>
      <c r="BT36" s="3">
        <v>2</v>
      </c>
      <c r="BU36" s="3" t="s">
        <v>389</v>
      </c>
      <c r="BV36" s="3" t="s">
        <v>1473</v>
      </c>
      <c r="BW36" s="3" t="s">
        <v>1474</v>
      </c>
      <c r="BX36" t="s">
        <v>736</v>
      </c>
      <c r="BY36" t="s">
        <v>736</v>
      </c>
      <c r="BZ36" t="s">
        <v>1495</v>
      </c>
      <c r="CA36" t="s">
        <v>1211</v>
      </c>
      <c r="CB36" t="s">
        <v>1530</v>
      </c>
      <c r="CC36" t="s">
        <v>1220</v>
      </c>
      <c r="CD36" t="s">
        <v>1205</v>
      </c>
      <c r="CE36" t="s">
        <v>1233</v>
      </c>
      <c r="CF36" t="s">
        <v>1515</v>
      </c>
      <c r="CG36" t="s">
        <v>1161</v>
      </c>
    </row>
    <row r="37" spans="1:85">
      <c r="A37" s="3" t="s">
        <v>127</v>
      </c>
      <c r="B37" s="3" t="s">
        <v>1339</v>
      </c>
      <c r="C37" s="3">
        <v>2018</v>
      </c>
      <c r="D37" t="s">
        <v>1366</v>
      </c>
      <c r="E37" s="3" t="s">
        <v>129</v>
      </c>
      <c r="F37" s="3">
        <v>12</v>
      </c>
      <c r="G37" s="3" t="s">
        <v>273</v>
      </c>
      <c r="H37" s="3" t="s">
        <v>273</v>
      </c>
      <c r="I37" s="3">
        <v>65.17</v>
      </c>
      <c r="J37" s="3">
        <v>8.31</v>
      </c>
      <c r="K37" s="3">
        <v>18.45</v>
      </c>
      <c r="L37" s="3">
        <v>6.91</v>
      </c>
      <c r="M37" s="3" t="s">
        <v>273</v>
      </c>
      <c r="N37" s="3" t="s">
        <v>273</v>
      </c>
      <c r="O37" s="3" t="s">
        <v>273</v>
      </c>
      <c r="P37" s="3" t="s">
        <v>273</v>
      </c>
      <c r="Q37" s="3" t="s">
        <v>273</v>
      </c>
      <c r="R37" s="3" t="s">
        <v>273</v>
      </c>
      <c r="S37" s="3" t="s">
        <v>273</v>
      </c>
      <c r="T37" s="3" t="s">
        <v>273</v>
      </c>
      <c r="U37" s="3">
        <v>1.79</v>
      </c>
      <c r="V37" s="3">
        <v>0.39</v>
      </c>
      <c r="W37" s="3" t="s">
        <v>273</v>
      </c>
      <c r="X37" s="3" t="s">
        <v>273</v>
      </c>
      <c r="Y37" s="3" t="s">
        <v>290</v>
      </c>
      <c r="Z37" s="3">
        <v>26</v>
      </c>
      <c r="AA37" s="3">
        <v>68.31</v>
      </c>
      <c r="AB37" s="3">
        <v>7.52</v>
      </c>
      <c r="AC37" s="3" t="s">
        <v>331</v>
      </c>
      <c r="AD37" s="3" t="s">
        <v>1274</v>
      </c>
      <c r="AE37" s="3" t="s">
        <v>1280</v>
      </c>
      <c r="AF37" s="3" t="s">
        <v>272</v>
      </c>
      <c r="AG37" s="3" t="s">
        <v>1419</v>
      </c>
      <c r="AH37" s="3" t="s">
        <v>1432</v>
      </c>
      <c r="AI37" s="3" t="s">
        <v>910</v>
      </c>
      <c r="AJ37" s="3">
        <v>2100</v>
      </c>
      <c r="AK37" s="3">
        <v>16</v>
      </c>
      <c r="AL37" s="3">
        <v>220</v>
      </c>
      <c r="AM37" s="3">
        <f t="shared" si="1"/>
        <v>7.7</v>
      </c>
      <c r="AN37" s="3" t="s">
        <v>366</v>
      </c>
      <c r="AO37" s="3">
        <v>3</v>
      </c>
      <c r="AP37" s="3" t="s">
        <v>271</v>
      </c>
      <c r="AQ37" s="3" t="s">
        <v>269</v>
      </c>
      <c r="AR37" s="3" t="s">
        <v>1444</v>
      </c>
      <c r="AS37" s="3" t="s">
        <v>269</v>
      </c>
      <c r="AT37" s="3" t="s">
        <v>1444</v>
      </c>
      <c r="AU37" s="3" t="s">
        <v>269</v>
      </c>
      <c r="AV37" s="3" t="s">
        <v>269</v>
      </c>
      <c r="AW37" s="3">
        <v>0.5</v>
      </c>
      <c r="AX37" s="3" t="s">
        <v>273</v>
      </c>
      <c r="AY37" s="3" t="s">
        <v>273</v>
      </c>
      <c r="AZ37" s="3" t="s">
        <v>273</v>
      </c>
      <c r="BA37" s="3" t="s">
        <v>273</v>
      </c>
      <c r="BB37" s="3" t="s">
        <v>273</v>
      </c>
      <c r="BC37" t="s">
        <v>273</v>
      </c>
      <c r="BD37" s="3" t="s">
        <v>266</v>
      </c>
      <c r="BE37" s="3" t="s">
        <v>1464</v>
      </c>
      <c r="BF37" s="3">
        <v>8.0000000000000002E-3</v>
      </c>
      <c r="BG37" s="3">
        <v>0.09</v>
      </c>
      <c r="BH37" s="3" t="s">
        <v>1465</v>
      </c>
      <c r="BI37" s="3" t="s">
        <v>273</v>
      </c>
      <c r="BJ37" s="3">
        <v>0.15</v>
      </c>
      <c r="BK37" t="s">
        <v>1073</v>
      </c>
      <c r="BL37">
        <v>7</v>
      </c>
      <c r="BM37" s="3">
        <v>59</v>
      </c>
      <c r="BN37" t="s">
        <v>1551</v>
      </c>
      <c r="BO37" s="3" t="s">
        <v>687</v>
      </c>
      <c r="BP37" s="3" t="s">
        <v>243</v>
      </c>
      <c r="BQ37" s="3">
        <v>46.2</v>
      </c>
      <c r="BR37" s="3">
        <v>2.2000000000000002</v>
      </c>
      <c r="BS37" s="3" t="s">
        <v>1130</v>
      </c>
      <c r="BT37" s="3">
        <v>2</v>
      </c>
      <c r="BU37" s="3" t="s">
        <v>389</v>
      </c>
      <c r="BV37" s="3" t="s">
        <v>1473</v>
      </c>
      <c r="BW37" s="3" t="s">
        <v>1474</v>
      </c>
      <c r="BX37" t="s">
        <v>736</v>
      </c>
      <c r="BY37" t="s">
        <v>736</v>
      </c>
      <c r="BZ37" t="s">
        <v>1495</v>
      </c>
      <c r="CA37" t="s">
        <v>1211</v>
      </c>
      <c r="CB37" t="s">
        <v>1530</v>
      </c>
      <c r="CC37" t="s">
        <v>1220</v>
      </c>
      <c r="CD37" t="s">
        <v>1205</v>
      </c>
      <c r="CE37" t="s">
        <v>1233</v>
      </c>
      <c r="CF37" t="s">
        <v>1515</v>
      </c>
      <c r="CG37" t="s">
        <v>1161</v>
      </c>
    </row>
    <row r="38" spans="1:85">
      <c r="A38" s="27" t="s">
        <v>130</v>
      </c>
      <c r="B38" t="s">
        <v>1340</v>
      </c>
      <c r="C38">
        <v>2022</v>
      </c>
      <c r="D38" t="s">
        <v>1367</v>
      </c>
      <c r="E38" t="s">
        <v>133</v>
      </c>
      <c r="F38">
        <v>16</v>
      </c>
      <c r="G38" t="s">
        <v>273</v>
      </c>
      <c r="H38" t="s">
        <v>273</v>
      </c>
      <c r="I38">
        <v>64.8</v>
      </c>
      <c r="J38">
        <v>8.6</v>
      </c>
      <c r="K38">
        <v>29.8</v>
      </c>
      <c r="L38">
        <v>22.6</v>
      </c>
      <c r="M38" t="s">
        <v>273</v>
      </c>
      <c r="N38" t="s">
        <v>273</v>
      </c>
      <c r="O38" t="s">
        <v>273</v>
      </c>
      <c r="P38" t="s">
        <v>273</v>
      </c>
      <c r="Q38" t="s">
        <v>273</v>
      </c>
      <c r="R38" t="s">
        <v>273</v>
      </c>
      <c r="S38" t="s">
        <v>273</v>
      </c>
      <c r="T38" t="s">
        <v>273</v>
      </c>
      <c r="U38" t="s">
        <v>273</v>
      </c>
      <c r="V38" t="s">
        <v>273</v>
      </c>
      <c r="W38" t="s">
        <v>273</v>
      </c>
      <c r="X38" t="s">
        <v>273</v>
      </c>
      <c r="Y38" t="s">
        <v>290</v>
      </c>
      <c r="Z38">
        <v>32</v>
      </c>
      <c r="AA38">
        <v>66.099999999999994</v>
      </c>
      <c r="AB38">
        <v>9.4</v>
      </c>
      <c r="AC38" t="s">
        <v>331</v>
      </c>
      <c r="AD38" t="s">
        <v>1274</v>
      </c>
      <c r="AE38" t="s">
        <v>1111</v>
      </c>
      <c r="AF38" t="s">
        <v>272</v>
      </c>
      <c r="AG38" t="s">
        <v>1420</v>
      </c>
      <c r="AH38" t="s">
        <v>1432</v>
      </c>
      <c r="AI38" t="s">
        <v>910</v>
      </c>
      <c r="AJ38">
        <v>700</v>
      </c>
      <c r="AK38">
        <v>30</v>
      </c>
      <c r="AL38">
        <v>105</v>
      </c>
      <c r="AM38">
        <f t="shared" si="1"/>
        <v>1.2250000000000001</v>
      </c>
      <c r="AO38">
        <v>3</v>
      </c>
      <c r="AP38" t="s">
        <v>271</v>
      </c>
      <c r="AQ38" t="s">
        <v>1444</v>
      </c>
      <c r="AR38" t="s">
        <v>1444</v>
      </c>
      <c r="AS38" t="s">
        <v>269</v>
      </c>
      <c r="AT38" t="s">
        <v>269</v>
      </c>
      <c r="AU38" t="s">
        <v>269</v>
      </c>
      <c r="AV38" t="s">
        <v>269</v>
      </c>
      <c r="AW38">
        <v>0.3</v>
      </c>
      <c r="AX38">
        <v>5</v>
      </c>
      <c r="AY38" t="s">
        <v>273</v>
      </c>
      <c r="AZ38" t="s">
        <v>273</v>
      </c>
      <c r="BA38">
        <v>30</v>
      </c>
      <c r="BB38" t="s">
        <v>273</v>
      </c>
      <c r="BC38" t="s">
        <v>273</v>
      </c>
      <c r="BD38" t="s">
        <v>273</v>
      </c>
      <c r="BE38" t="s">
        <v>273</v>
      </c>
      <c r="BF38" t="s">
        <v>273</v>
      </c>
      <c r="BG38" t="s">
        <v>273</v>
      </c>
      <c r="BH38" t="s">
        <v>273</v>
      </c>
      <c r="BI38" t="s">
        <v>273</v>
      </c>
      <c r="BJ38" t="s">
        <v>273</v>
      </c>
      <c r="BK38" t="s">
        <v>992</v>
      </c>
      <c r="BL38" t="s">
        <v>910</v>
      </c>
      <c r="BM38">
        <v>232</v>
      </c>
      <c r="BN38" t="s">
        <v>910</v>
      </c>
      <c r="BO38" s="3" t="s">
        <v>1118</v>
      </c>
      <c r="BP38" s="3" t="s">
        <v>243</v>
      </c>
      <c r="BQ38">
        <v>44</v>
      </c>
      <c r="BR38">
        <v>0.7</v>
      </c>
      <c r="BS38" s="3" t="s">
        <v>1130</v>
      </c>
      <c r="BT38">
        <v>2</v>
      </c>
      <c r="BU38" t="s">
        <v>1137</v>
      </c>
      <c r="BV38" s="3" t="s">
        <v>1468</v>
      </c>
      <c r="BW38" t="s">
        <v>273</v>
      </c>
      <c r="BX38" t="s">
        <v>736</v>
      </c>
      <c r="BY38" t="s">
        <v>499</v>
      </c>
      <c r="BZ38" t="s">
        <v>1496</v>
      </c>
      <c r="CA38" t="s">
        <v>1189</v>
      </c>
      <c r="CB38" t="s">
        <v>1190</v>
      </c>
      <c r="CC38" t="s">
        <v>1218</v>
      </c>
      <c r="CD38" t="s">
        <v>1206</v>
      </c>
      <c r="CE38" t="s">
        <v>1219</v>
      </c>
      <c r="CF38" t="s">
        <v>1516</v>
      </c>
      <c r="CG38" t="s">
        <v>1162</v>
      </c>
    </row>
    <row r="39" spans="1:85">
      <c r="A39" s="27" t="s">
        <v>130</v>
      </c>
      <c r="B39" t="s">
        <v>1340</v>
      </c>
      <c r="C39">
        <v>2022</v>
      </c>
      <c r="D39" s="3" t="s">
        <v>1367</v>
      </c>
      <c r="E39" t="s">
        <v>133</v>
      </c>
      <c r="F39">
        <v>75</v>
      </c>
      <c r="G39" t="s">
        <v>273</v>
      </c>
      <c r="H39" t="s">
        <v>273</v>
      </c>
      <c r="I39">
        <v>64.400000000000006</v>
      </c>
      <c r="J39">
        <v>7.8</v>
      </c>
      <c r="K39">
        <v>21.2</v>
      </c>
      <c r="L39">
        <v>11.3</v>
      </c>
      <c r="M39" t="s">
        <v>273</v>
      </c>
      <c r="N39" t="s">
        <v>273</v>
      </c>
      <c r="O39" t="s">
        <v>273</v>
      </c>
      <c r="P39" t="s">
        <v>273</v>
      </c>
      <c r="Q39" t="s">
        <v>273</v>
      </c>
      <c r="R39" t="s">
        <v>273</v>
      </c>
      <c r="S39" t="s">
        <v>273</v>
      </c>
      <c r="T39" t="s">
        <v>273</v>
      </c>
      <c r="U39" t="s">
        <v>273</v>
      </c>
      <c r="V39" t="s">
        <v>273</v>
      </c>
      <c r="W39" t="s">
        <v>273</v>
      </c>
      <c r="X39" t="s">
        <v>273</v>
      </c>
      <c r="Y39" t="s">
        <v>290</v>
      </c>
      <c r="Z39">
        <v>32</v>
      </c>
      <c r="AA39">
        <v>66.099999999999994</v>
      </c>
      <c r="AB39">
        <v>9.4</v>
      </c>
      <c r="AC39" t="s">
        <v>331</v>
      </c>
      <c r="AD39" t="s">
        <v>1274</v>
      </c>
      <c r="AE39" t="s">
        <v>1111</v>
      </c>
      <c r="AF39" t="s">
        <v>272</v>
      </c>
      <c r="AG39" t="s">
        <v>1420</v>
      </c>
      <c r="AH39" t="s">
        <v>1432</v>
      </c>
      <c r="AI39" t="s">
        <v>910</v>
      </c>
      <c r="AJ39">
        <v>700</v>
      </c>
      <c r="AK39">
        <v>30</v>
      </c>
      <c r="AL39">
        <v>105</v>
      </c>
      <c r="AM39">
        <f t="shared" si="1"/>
        <v>1.2250000000000001</v>
      </c>
      <c r="AO39">
        <v>3</v>
      </c>
      <c r="AP39" t="s">
        <v>271</v>
      </c>
      <c r="AQ39" t="s">
        <v>1444</v>
      </c>
      <c r="AR39" t="s">
        <v>1444</v>
      </c>
      <c r="AS39" t="s">
        <v>269</v>
      </c>
      <c r="AT39" t="s">
        <v>269</v>
      </c>
      <c r="AU39" t="s">
        <v>269</v>
      </c>
      <c r="AV39" t="s">
        <v>269</v>
      </c>
      <c r="AW39">
        <v>0.3</v>
      </c>
      <c r="AX39">
        <v>5</v>
      </c>
      <c r="AY39" t="s">
        <v>273</v>
      </c>
      <c r="AZ39" t="s">
        <v>273</v>
      </c>
      <c r="BA39">
        <v>30</v>
      </c>
      <c r="BB39" t="s">
        <v>273</v>
      </c>
      <c r="BC39" t="s">
        <v>273</v>
      </c>
      <c r="BD39" t="s">
        <v>273</v>
      </c>
      <c r="BE39" t="s">
        <v>273</v>
      </c>
      <c r="BF39" t="s">
        <v>273</v>
      </c>
      <c r="BG39" t="s">
        <v>273</v>
      </c>
      <c r="BH39" t="s">
        <v>273</v>
      </c>
      <c r="BI39" t="s">
        <v>273</v>
      </c>
      <c r="BJ39" t="s">
        <v>273</v>
      </c>
      <c r="BK39" t="s">
        <v>992</v>
      </c>
      <c r="BL39" t="s">
        <v>910</v>
      </c>
      <c r="BM39">
        <v>232</v>
      </c>
      <c r="BN39" t="s">
        <v>910</v>
      </c>
      <c r="BO39" s="3" t="s">
        <v>1118</v>
      </c>
      <c r="BP39" s="3" t="s">
        <v>243</v>
      </c>
      <c r="BQ39">
        <v>44</v>
      </c>
      <c r="BR39">
        <v>0.7</v>
      </c>
      <c r="BS39" s="3" t="s">
        <v>1130</v>
      </c>
      <c r="BT39">
        <v>2</v>
      </c>
      <c r="BU39" t="s">
        <v>1137</v>
      </c>
      <c r="BV39" s="3" t="s">
        <v>1468</v>
      </c>
      <c r="BW39" t="s">
        <v>273</v>
      </c>
      <c r="BX39" t="s">
        <v>736</v>
      </c>
      <c r="BY39" t="s">
        <v>499</v>
      </c>
      <c r="BZ39" t="s">
        <v>1496</v>
      </c>
      <c r="CA39" t="s">
        <v>1189</v>
      </c>
      <c r="CB39" t="s">
        <v>1190</v>
      </c>
      <c r="CC39" t="s">
        <v>1218</v>
      </c>
      <c r="CD39" t="s">
        <v>1206</v>
      </c>
      <c r="CE39" t="s">
        <v>1219</v>
      </c>
      <c r="CF39" t="s">
        <v>1516</v>
      </c>
      <c r="CG39" t="s">
        <v>1162</v>
      </c>
    </row>
    <row r="40" spans="1:85">
      <c r="A40" s="3" t="s">
        <v>134</v>
      </c>
      <c r="B40" s="3" t="s">
        <v>1341</v>
      </c>
      <c r="C40" s="3">
        <v>2023</v>
      </c>
      <c r="D40" s="3" t="s">
        <v>1360</v>
      </c>
      <c r="E40" s="3" t="s">
        <v>136</v>
      </c>
      <c r="F40" s="3">
        <v>52</v>
      </c>
      <c r="G40" s="3" t="s">
        <v>273</v>
      </c>
      <c r="H40" s="3" t="s">
        <v>273</v>
      </c>
      <c r="I40" s="3">
        <v>62.67</v>
      </c>
      <c r="J40" s="3">
        <v>8.19</v>
      </c>
      <c r="K40" s="3" t="s">
        <v>273</v>
      </c>
      <c r="L40" s="3" t="s">
        <v>273</v>
      </c>
      <c r="M40" s="3" t="s">
        <v>273</v>
      </c>
      <c r="N40" s="3" t="s">
        <v>273</v>
      </c>
      <c r="O40" s="3">
        <v>33</v>
      </c>
      <c r="P40" s="3">
        <v>14.61</v>
      </c>
      <c r="Q40" s="3" t="s">
        <v>273</v>
      </c>
      <c r="R40" s="3" t="s">
        <v>273</v>
      </c>
      <c r="S40" s="3">
        <v>2.2999999999999998</v>
      </c>
      <c r="T40" s="3">
        <v>0.8</v>
      </c>
      <c r="U40" s="3" t="s">
        <v>273</v>
      </c>
      <c r="V40" s="3" t="s">
        <v>273</v>
      </c>
      <c r="W40" s="3" t="s">
        <v>273</v>
      </c>
      <c r="X40" s="3" t="s">
        <v>273</v>
      </c>
      <c r="Y40" s="3" t="s">
        <v>289</v>
      </c>
      <c r="Z40" s="3">
        <v>38</v>
      </c>
      <c r="AA40" s="3">
        <v>61.92</v>
      </c>
      <c r="AB40" s="3">
        <v>5.57</v>
      </c>
      <c r="AC40" s="3" t="s">
        <v>331</v>
      </c>
      <c r="AD40" s="3" t="s">
        <v>1274</v>
      </c>
      <c r="AE40" s="3" t="s">
        <v>1109</v>
      </c>
      <c r="AF40" s="3" t="s">
        <v>272</v>
      </c>
      <c r="AG40" s="3" t="s">
        <v>924</v>
      </c>
      <c r="AH40" s="3" t="s">
        <v>1432</v>
      </c>
      <c r="AI40" s="3" t="s">
        <v>910</v>
      </c>
      <c r="AJ40" s="3">
        <v>2000</v>
      </c>
      <c r="AK40" s="3">
        <v>21</v>
      </c>
      <c r="AL40" s="3">
        <v>240</v>
      </c>
      <c r="AM40" s="3">
        <f t="shared" si="1"/>
        <v>8</v>
      </c>
      <c r="AN40" s="3" t="s">
        <v>263</v>
      </c>
      <c r="AO40" s="3">
        <v>3</v>
      </c>
      <c r="AP40" s="3" t="s">
        <v>273</v>
      </c>
      <c r="AQ40" s="3" t="s">
        <v>269</v>
      </c>
      <c r="AR40" s="3" t="s">
        <v>269</v>
      </c>
      <c r="AS40" s="3" t="s">
        <v>269</v>
      </c>
      <c r="AT40" s="3" t="s">
        <v>1444</v>
      </c>
      <c r="AU40" s="3" t="s">
        <v>1444</v>
      </c>
      <c r="AV40" s="3" t="s">
        <v>269</v>
      </c>
      <c r="AW40" s="3" t="s">
        <v>273</v>
      </c>
      <c r="AX40" s="3" t="s">
        <v>273</v>
      </c>
      <c r="AY40" s="3" t="s">
        <v>273</v>
      </c>
      <c r="AZ40" s="3" t="s">
        <v>273</v>
      </c>
      <c r="BA40" s="3" t="s">
        <v>273</v>
      </c>
      <c r="BB40" s="3" t="s">
        <v>1453</v>
      </c>
      <c r="BC40" t="s">
        <v>273</v>
      </c>
      <c r="BD40" s="3" t="s">
        <v>266</v>
      </c>
      <c r="BE40" s="3" t="s">
        <v>1465</v>
      </c>
      <c r="BF40" s="3" t="s">
        <v>273</v>
      </c>
      <c r="BG40" s="3">
        <v>0.1</v>
      </c>
      <c r="BH40" s="3" t="s">
        <v>273</v>
      </c>
      <c r="BI40" s="3" t="s">
        <v>273</v>
      </c>
      <c r="BJ40" s="3" t="s">
        <v>273</v>
      </c>
      <c r="BK40" t="s">
        <v>1073</v>
      </c>
      <c r="BL40">
        <v>7</v>
      </c>
      <c r="BM40" s="3">
        <v>23</v>
      </c>
      <c r="BN40" t="s">
        <v>1539</v>
      </c>
      <c r="BO40" s="3" t="s">
        <v>687</v>
      </c>
      <c r="BP40" s="3" t="s">
        <v>243</v>
      </c>
      <c r="BQ40" s="3">
        <v>46</v>
      </c>
      <c r="BR40" s="3">
        <v>2</v>
      </c>
      <c r="BS40" s="3" t="s">
        <v>1130</v>
      </c>
      <c r="BT40" s="3">
        <v>7</v>
      </c>
      <c r="BU40" s="3" t="s">
        <v>389</v>
      </c>
      <c r="BV40" s="3" t="s">
        <v>1468</v>
      </c>
      <c r="BW40" s="6" t="s">
        <v>1667</v>
      </c>
      <c r="BX40" s="6" t="s">
        <v>285</v>
      </c>
      <c r="BY40" t="s">
        <v>736</v>
      </c>
      <c r="BZ40" t="s">
        <v>1497</v>
      </c>
      <c r="CA40" t="s">
        <v>1235</v>
      </c>
      <c r="CB40" t="s">
        <v>1236</v>
      </c>
      <c r="CC40" t="s">
        <v>1222</v>
      </c>
      <c r="CD40" t="s">
        <v>1211</v>
      </c>
      <c r="CE40" t="s">
        <v>1211</v>
      </c>
      <c r="CF40" t="s">
        <v>1255</v>
      </c>
      <c r="CG40" t="s">
        <v>1163</v>
      </c>
    </row>
    <row r="41" spans="1:85">
      <c r="A41" s="3" t="s">
        <v>134</v>
      </c>
      <c r="B41" s="3" t="s">
        <v>1341</v>
      </c>
      <c r="C41" s="3">
        <v>2023</v>
      </c>
      <c r="D41" t="s">
        <v>1360</v>
      </c>
      <c r="E41" s="3" t="s">
        <v>136</v>
      </c>
      <c r="F41" s="3">
        <v>73</v>
      </c>
      <c r="G41" s="3" t="s">
        <v>273</v>
      </c>
      <c r="H41" s="3" t="s">
        <v>273</v>
      </c>
      <c r="I41" s="3">
        <v>61.71</v>
      </c>
      <c r="J41" s="3">
        <v>9.59</v>
      </c>
      <c r="K41" s="3" t="s">
        <v>273</v>
      </c>
      <c r="L41" s="3" t="s">
        <v>273</v>
      </c>
      <c r="M41" s="3" t="s">
        <v>273</v>
      </c>
      <c r="N41" s="3" t="s">
        <v>273</v>
      </c>
      <c r="O41" s="3">
        <v>26.62</v>
      </c>
      <c r="P41" s="3">
        <v>13.03</v>
      </c>
      <c r="Q41" s="3" t="s">
        <v>273</v>
      </c>
      <c r="R41" s="3" t="s">
        <v>273</v>
      </c>
      <c r="S41" s="3">
        <v>2.2000000000000002</v>
      </c>
      <c r="T41" s="3">
        <v>0.6</v>
      </c>
      <c r="U41" s="3" t="s">
        <v>273</v>
      </c>
      <c r="V41" s="3" t="s">
        <v>273</v>
      </c>
      <c r="W41" s="3" t="s">
        <v>273</v>
      </c>
      <c r="X41" s="3" t="s">
        <v>273</v>
      </c>
      <c r="Y41" s="3" t="s">
        <v>289</v>
      </c>
      <c r="Z41" s="3">
        <v>38</v>
      </c>
      <c r="AA41" s="3">
        <v>61.92</v>
      </c>
      <c r="AB41" s="3">
        <v>5.57</v>
      </c>
      <c r="AC41" s="3" t="s">
        <v>331</v>
      </c>
      <c r="AD41" s="3" t="s">
        <v>1274</v>
      </c>
      <c r="AE41" s="3" t="s">
        <v>1109</v>
      </c>
      <c r="AF41" s="3" t="s">
        <v>272</v>
      </c>
      <c r="AG41" s="3" t="s">
        <v>924</v>
      </c>
      <c r="AH41" s="3" t="s">
        <v>1432</v>
      </c>
      <c r="AI41" s="3" t="s">
        <v>910</v>
      </c>
      <c r="AJ41" s="3">
        <v>2000</v>
      </c>
      <c r="AK41" s="3">
        <v>21</v>
      </c>
      <c r="AL41" s="3">
        <v>240</v>
      </c>
      <c r="AM41" s="3">
        <f t="shared" si="1"/>
        <v>8</v>
      </c>
      <c r="AN41" s="3" t="s">
        <v>263</v>
      </c>
      <c r="AO41" s="3">
        <v>3</v>
      </c>
      <c r="AP41" s="3" t="s">
        <v>273</v>
      </c>
      <c r="AQ41" s="3" t="s">
        <v>269</v>
      </c>
      <c r="AR41" s="3" t="s">
        <v>269</v>
      </c>
      <c r="AS41" s="3" t="s">
        <v>269</v>
      </c>
      <c r="AT41" s="3" t="s">
        <v>1444</v>
      </c>
      <c r="AU41" s="3" t="s">
        <v>1444</v>
      </c>
      <c r="AV41" s="3" t="s">
        <v>269</v>
      </c>
      <c r="AW41" s="3" t="s">
        <v>273</v>
      </c>
      <c r="AX41" s="3" t="s">
        <v>273</v>
      </c>
      <c r="AY41" s="3" t="s">
        <v>273</v>
      </c>
      <c r="AZ41" s="3" t="s">
        <v>273</v>
      </c>
      <c r="BA41" s="3" t="s">
        <v>273</v>
      </c>
      <c r="BB41" s="3" t="s">
        <v>1453</v>
      </c>
      <c r="BC41" t="s">
        <v>273</v>
      </c>
      <c r="BD41" s="3" t="s">
        <v>266</v>
      </c>
      <c r="BE41" s="3" t="s">
        <v>1465</v>
      </c>
      <c r="BF41" s="3" t="s">
        <v>273</v>
      </c>
      <c r="BG41" s="3">
        <v>0.1</v>
      </c>
      <c r="BH41" s="3" t="s">
        <v>273</v>
      </c>
      <c r="BI41" s="3" t="s">
        <v>273</v>
      </c>
      <c r="BJ41" s="3" t="s">
        <v>273</v>
      </c>
      <c r="BK41" t="s">
        <v>1073</v>
      </c>
      <c r="BL41">
        <v>7</v>
      </c>
      <c r="BM41" s="3">
        <v>23</v>
      </c>
      <c r="BN41" t="s">
        <v>1539</v>
      </c>
      <c r="BO41" s="3" t="s">
        <v>687</v>
      </c>
      <c r="BP41" s="3" t="s">
        <v>243</v>
      </c>
      <c r="BQ41" s="3">
        <v>46</v>
      </c>
      <c r="BR41" s="3">
        <v>2</v>
      </c>
      <c r="BS41" s="3" t="s">
        <v>1130</v>
      </c>
      <c r="BT41" s="3">
        <v>7</v>
      </c>
      <c r="BU41" s="3" t="s">
        <v>389</v>
      </c>
      <c r="BV41" s="3" t="s">
        <v>1468</v>
      </c>
      <c r="BW41" s="6" t="s">
        <v>1667</v>
      </c>
      <c r="BX41" s="6" t="s">
        <v>285</v>
      </c>
      <c r="BY41" t="s">
        <v>736</v>
      </c>
      <c r="BZ41" t="s">
        <v>1497</v>
      </c>
      <c r="CA41" t="s">
        <v>1211</v>
      </c>
      <c r="CB41" t="s">
        <v>1211</v>
      </c>
      <c r="CC41" t="s">
        <v>1211</v>
      </c>
      <c r="CD41" t="s">
        <v>1211</v>
      </c>
      <c r="CE41" t="s">
        <v>1211</v>
      </c>
      <c r="CF41" t="s">
        <v>1255</v>
      </c>
      <c r="CG41" t="s">
        <v>1163</v>
      </c>
    </row>
    <row r="42" spans="1:85">
      <c r="A42" s="27" t="s">
        <v>137</v>
      </c>
      <c r="B42" t="s">
        <v>1342</v>
      </c>
      <c r="C42">
        <v>2025</v>
      </c>
      <c r="D42" s="3" t="s">
        <v>1368</v>
      </c>
      <c r="E42" t="s">
        <v>140</v>
      </c>
      <c r="F42" s="6">
        <v>23</v>
      </c>
      <c r="G42" t="s">
        <v>273</v>
      </c>
      <c r="H42" t="s">
        <v>273</v>
      </c>
      <c r="I42">
        <v>63.35</v>
      </c>
      <c r="J42">
        <v>8.74</v>
      </c>
      <c r="K42">
        <v>23.33</v>
      </c>
      <c r="L42">
        <v>7.75</v>
      </c>
      <c r="M42" t="s">
        <v>273</v>
      </c>
      <c r="N42" t="s">
        <v>273</v>
      </c>
      <c r="O42">
        <v>30.07</v>
      </c>
      <c r="P42">
        <v>9.5</v>
      </c>
      <c r="Q42" t="s">
        <v>273</v>
      </c>
      <c r="R42" t="s">
        <v>273</v>
      </c>
      <c r="S42">
        <v>1.91</v>
      </c>
      <c r="T42">
        <v>0.67</v>
      </c>
      <c r="U42" t="s">
        <v>273</v>
      </c>
      <c r="V42" t="s">
        <v>273</v>
      </c>
      <c r="W42" t="s">
        <v>273</v>
      </c>
      <c r="X42" t="s">
        <v>273</v>
      </c>
      <c r="Y42" t="s">
        <v>302</v>
      </c>
      <c r="Z42" s="6">
        <v>21</v>
      </c>
      <c r="AA42">
        <v>63.19</v>
      </c>
      <c r="AB42">
        <v>10.32</v>
      </c>
      <c r="AC42" t="s">
        <v>527</v>
      </c>
      <c r="AD42" t="s">
        <v>1270</v>
      </c>
      <c r="AE42" t="s">
        <v>1283</v>
      </c>
      <c r="AF42" t="s">
        <v>272</v>
      </c>
      <c r="AG42" t="s">
        <v>1421</v>
      </c>
      <c r="AH42" t="s">
        <v>1432</v>
      </c>
      <c r="AI42" t="s">
        <v>910</v>
      </c>
      <c r="AJ42">
        <v>2000</v>
      </c>
      <c r="AK42">
        <v>30</v>
      </c>
      <c r="AL42">
        <v>186</v>
      </c>
      <c r="AM42">
        <f t="shared" si="1"/>
        <v>6.2</v>
      </c>
      <c r="AN42" t="s">
        <v>263</v>
      </c>
      <c r="AO42">
        <v>3</v>
      </c>
      <c r="AP42" t="s">
        <v>428</v>
      </c>
      <c r="AQ42" t="s">
        <v>1444</v>
      </c>
      <c r="AR42" t="s">
        <v>269</v>
      </c>
      <c r="AS42" t="s">
        <v>269</v>
      </c>
      <c r="AT42" t="s">
        <v>1444</v>
      </c>
      <c r="AU42" t="s">
        <v>269</v>
      </c>
      <c r="AV42" t="s">
        <v>269</v>
      </c>
      <c r="AW42">
        <v>0.2</v>
      </c>
      <c r="AX42" t="s">
        <v>273</v>
      </c>
      <c r="AY42">
        <v>2.5</v>
      </c>
      <c r="AZ42">
        <v>2.5</v>
      </c>
      <c r="BA42" t="s">
        <v>273</v>
      </c>
      <c r="BB42" t="s">
        <v>1457</v>
      </c>
      <c r="BC42" t="s">
        <v>273</v>
      </c>
      <c r="BD42" t="s">
        <v>276</v>
      </c>
      <c r="BE42" t="s">
        <v>1464</v>
      </c>
      <c r="BF42">
        <v>0.01</v>
      </c>
      <c r="BG42">
        <v>0.1</v>
      </c>
      <c r="BH42" t="s">
        <v>273</v>
      </c>
      <c r="BI42" t="s">
        <v>273</v>
      </c>
      <c r="BJ42" t="s">
        <v>273</v>
      </c>
      <c r="BK42" t="s">
        <v>1073</v>
      </c>
      <c r="BL42">
        <v>7</v>
      </c>
      <c r="BM42">
        <v>43</v>
      </c>
      <c r="BN42" t="s">
        <v>1539</v>
      </c>
      <c r="BO42" s="3" t="s">
        <v>687</v>
      </c>
      <c r="BP42" s="3" t="s">
        <v>243</v>
      </c>
      <c r="BQ42">
        <v>44</v>
      </c>
      <c r="BR42">
        <v>2</v>
      </c>
      <c r="BS42" s="3" t="s">
        <v>1130</v>
      </c>
      <c r="BT42">
        <v>2</v>
      </c>
      <c r="BU42" t="s">
        <v>1133</v>
      </c>
      <c r="BV42" s="3" t="s">
        <v>1468</v>
      </c>
      <c r="BW42" t="s">
        <v>273</v>
      </c>
      <c r="BX42" t="s">
        <v>736</v>
      </c>
      <c r="BY42" t="s">
        <v>736</v>
      </c>
      <c r="BZ42" t="s">
        <v>1498</v>
      </c>
      <c r="CA42" t="s">
        <v>1237</v>
      </c>
      <c r="CB42" t="s">
        <v>1238</v>
      </c>
      <c r="CC42" t="s">
        <v>1218</v>
      </c>
      <c r="CD42" t="s">
        <v>1239</v>
      </c>
      <c r="CE42" t="s">
        <v>1219</v>
      </c>
      <c r="CF42" t="s">
        <v>1256</v>
      </c>
      <c r="CG42" t="s">
        <v>1164</v>
      </c>
    </row>
    <row r="43" spans="1:85">
      <c r="A43" s="3" t="s">
        <v>141</v>
      </c>
      <c r="B43" s="3" t="s">
        <v>1343</v>
      </c>
      <c r="C43" s="3">
        <v>2025</v>
      </c>
      <c r="D43" s="3" t="s">
        <v>1369</v>
      </c>
      <c r="E43" s="3" t="s">
        <v>144</v>
      </c>
      <c r="F43" s="3">
        <v>48</v>
      </c>
      <c r="G43" s="3" t="s">
        <v>273</v>
      </c>
      <c r="H43" s="3" t="s">
        <v>273</v>
      </c>
      <c r="I43" s="3">
        <v>59.4</v>
      </c>
      <c r="J43" s="3">
        <v>7.53</v>
      </c>
      <c r="K43" s="3" t="s">
        <v>273</v>
      </c>
      <c r="L43" s="3" t="s">
        <v>273</v>
      </c>
      <c r="M43" s="3" t="s">
        <v>273</v>
      </c>
      <c r="N43" s="3" t="s">
        <v>273</v>
      </c>
      <c r="O43" s="3">
        <v>29.02</v>
      </c>
      <c r="P43" s="3">
        <v>10.66</v>
      </c>
      <c r="Q43" s="3" t="s">
        <v>273</v>
      </c>
      <c r="R43" s="3" t="s">
        <v>273</v>
      </c>
      <c r="S43" s="3">
        <v>1.85</v>
      </c>
      <c r="T43" s="3">
        <v>0.71</v>
      </c>
      <c r="U43" s="3" t="s">
        <v>273</v>
      </c>
      <c r="V43" s="3" t="s">
        <v>273</v>
      </c>
      <c r="W43" s="3" t="s">
        <v>273</v>
      </c>
      <c r="X43" s="3" t="s">
        <v>273</v>
      </c>
      <c r="Y43" s="3" t="s">
        <v>289</v>
      </c>
      <c r="Z43" s="3">
        <v>92</v>
      </c>
      <c r="AA43" s="3">
        <v>60.46</v>
      </c>
      <c r="AB43" s="3">
        <v>8.89</v>
      </c>
      <c r="AC43" s="3" t="s">
        <v>331</v>
      </c>
      <c r="AD43" s="3" t="s">
        <v>1274</v>
      </c>
      <c r="AE43" s="3" t="s">
        <v>1284</v>
      </c>
      <c r="AF43" s="3" t="s">
        <v>272</v>
      </c>
      <c r="AG43" s="3" t="s">
        <v>1422</v>
      </c>
      <c r="AH43" s="3" t="s">
        <v>1432</v>
      </c>
      <c r="AI43" s="3" t="s">
        <v>910</v>
      </c>
      <c r="AJ43" s="3">
        <v>2000</v>
      </c>
      <c r="AK43" s="3">
        <v>30</v>
      </c>
      <c r="AL43" s="3">
        <v>180</v>
      </c>
      <c r="AM43" s="3">
        <f t="shared" si="1"/>
        <v>6</v>
      </c>
      <c r="AN43" s="3" t="s">
        <v>263</v>
      </c>
      <c r="AO43" s="3">
        <v>3</v>
      </c>
      <c r="AP43" s="3" t="s">
        <v>428</v>
      </c>
      <c r="AQ43" s="3" t="s">
        <v>1444</v>
      </c>
      <c r="AR43" s="3" t="s">
        <v>269</v>
      </c>
      <c r="AS43" s="3" t="s">
        <v>269</v>
      </c>
      <c r="AT43" s="3" t="s">
        <v>269</v>
      </c>
      <c r="AU43" s="3" t="s">
        <v>269</v>
      </c>
      <c r="AV43" s="8" t="s">
        <v>1444</v>
      </c>
      <c r="AW43" s="3">
        <v>0.3</v>
      </c>
      <c r="AX43" s="3" t="s">
        <v>273</v>
      </c>
      <c r="AY43" s="3">
        <v>3</v>
      </c>
      <c r="AZ43" s="3">
        <v>3</v>
      </c>
      <c r="BA43" s="3" t="s">
        <v>273</v>
      </c>
      <c r="BB43" s="3" t="s">
        <v>273</v>
      </c>
      <c r="BC43" t="s">
        <v>273</v>
      </c>
      <c r="BD43" s="3" t="s">
        <v>386</v>
      </c>
      <c r="BE43" s="3" t="s">
        <v>1464</v>
      </c>
      <c r="BF43" s="3">
        <v>0.01</v>
      </c>
      <c r="BG43" s="3">
        <v>0.08</v>
      </c>
      <c r="BH43" s="3" t="s">
        <v>273</v>
      </c>
      <c r="BI43" s="3" t="s">
        <v>273</v>
      </c>
      <c r="BJ43" s="3" t="s">
        <v>273</v>
      </c>
      <c r="BK43" t="s">
        <v>1072</v>
      </c>
      <c r="BL43">
        <v>1</v>
      </c>
      <c r="BM43" s="3">
        <v>33</v>
      </c>
      <c r="BN43" t="s">
        <v>1552</v>
      </c>
      <c r="BO43" s="3" t="s">
        <v>1119</v>
      </c>
      <c r="BP43" s="3" t="s">
        <v>243</v>
      </c>
      <c r="BQ43" s="3">
        <v>60</v>
      </c>
      <c r="BR43" s="3">
        <v>2</v>
      </c>
      <c r="BS43" s="3" t="s">
        <v>1130</v>
      </c>
      <c r="BT43" s="3">
        <v>2</v>
      </c>
      <c r="BU43" s="3" t="s">
        <v>1138</v>
      </c>
      <c r="BV43" s="3" t="s">
        <v>1468</v>
      </c>
      <c r="BW43" t="s">
        <v>273</v>
      </c>
      <c r="BX43" t="s">
        <v>736</v>
      </c>
      <c r="BY43" t="s">
        <v>736</v>
      </c>
      <c r="BZ43" t="s">
        <v>1495</v>
      </c>
      <c r="CA43" t="s">
        <v>1191</v>
      </c>
      <c r="CB43" t="s">
        <v>1240</v>
      </c>
      <c r="CC43" t="s">
        <v>1224</v>
      </c>
      <c r="CD43" t="s">
        <v>1211</v>
      </c>
      <c r="CE43" t="s">
        <v>1211</v>
      </c>
      <c r="CF43" t="s">
        <v>1257</v>
      </c>
      <c r="CG43" t="s">
        <v>1165</v>
      </c>
    </row>
    <row r="44" spans="1:85">
      <c r="A44" s="3" t="s">
        <v>141</v>
      </c>
      <c r="B44" s="3" t="s">
        <v>1343</v>
      </c>
      <c r="C44" s="3">
        <v>2025</v>
      </c>
      <c r="D44" t="s">
        <v>1369</v>
      </c>
      <c r="E44" s="3" t="s">
        <v>144</v>
      </c>
      <c r="F44" s="3">
        <v>60</v>
      </c>
      <c r="G44" s="3" t="s">
        <v>273</v>
      </c>
      <c r="H44" s="3" t="s">
        <v>273</v>
      </c>
      <c r="I44" s="3">
        <v>59.6</v>
      </c>
      <c r="J44" s="3">
        <v>10</v>
      </c>
      <c r="K44" s="3" t="s">
        <v>273</v>
      </c>
      <c r="L44" s="3" t="s">
        <v>273</v>
      </c>
      <c r="M44" s="3" t="s">
        <v>273</v>
      </c>
      <c r="N44" s="3" t="s">
        <v>273</v>
      </c>
      <c r="O44" s="3">
        <v>27.23</v>
      </c>
      <c r="P44" s="3">
        <v>13.65</v>
      </c>
      <c r="Q44" s="3" t="s">
        <v>273</v>
      </c>
      <c r="R44" s="3" t="s">
        <v>273</v>
      </c>
      <c r="S44" s="3">
        <v>1.71</v>
      </c>
      <c r="T44" s="3">
        <v>0.65</v>
      </c>
      <c r="U44" s="3" t="s">
        <v>273</v>
      </c>
      <c r="V44" s="3" t="s">
        <v>273</v>
      </c>
      <c r="W44" s="3" t="s">
        <v>273</v>
      </c>
      <c r="X44" s="3" t="s">
        <v>273</v>
      </c>
      <c r="Y44" s="3" t="s">
        <v>289</v>
      </c>
      <c r="Z44" s="3">
        <v>92</v>
      </c>
      <c r="AA44" s="3">
        <v>60.46</v>
      </c>
      <c r="AB44" s="3">
        <v>8.89</v>
      </c>
      <c r="AC44" s="3" t="s">
        <v>331</v>
      </c>
      <c r="AD44" s="3" t="s">
        <v>1274</v>
      </c>
      <c r="AE44" s="3" t="s">
        <v>1284</v>
      </c>
      <c r="AF44" s="3" t="s">
        <v>272</v>
      </c>
      <c r="AG44" s="3" t="s">
        <v>1422</v>
      </c>
      <c r="AH44" s="3" t="s">
        <v>1432</v>
      </c>
      <c r="AI44" s="3" t="s">
        <v>910</v>
      </c>
      <c r="AJ44" s="3">
        <v>2000</v>
      </c>
      <c r="AK44" s="3">
        <v>30</v>
      </c>
      <c r="AL44" s="3">
        <v>180</v>
      </c>
      <c r="AM44" s="3">
        <f t="shared" si="1"/>
        <v>6</v>
      </c>
      <c r="AN44" s="3" t="s">
        <v>263</v>
      </c>
      <c r="AO44" s="3">
        <v>3</v>
      </c>
      <c r="AP44" s="3" t="s">
        <v>428</v>
      </c>
      <c r="AQ44" s="3" t="s">
        <v>1444</v>
      </c>
      <c r="AR44" s="3" t="s">
        <v>269</v>
      </c>
      <c r="AS44" s="3" t="s">
        <v>269</v>
      </c>
      <c r="AT44" s="3" t="s">
        <v>269</v>
      </c>
      <c r="AU44" s="3" t="s">
        <v>269</v>
      </c>
      <c r="AV44" s="8" t="s">
        <v>1444</v>
      </c>
      <c r="AW44" s="3">
        <v>0.3</v>
      </c>
      <c r="AX44" s="3" t="s">
        <v>273</v>
      </c>
      <c r="AY44" s="3">
        <v>3</v>
      </c>
      <c r="AZ44" s="3">
        <v>3</v>
      </c>
      <c r="BA44" s="3" t="s">
        <v>273</v>
      </c>
      <c r="BB44" s="3" t="s">
        <v>273</v>
      </c>
      <c r="BC44" t="s">
        <v>273</v>
      </c>
      <c r="BD44" s="3" t="s">
        <v>386</v>
      </c>
      <c r="BE44" s="3" t="s">
        <v>1464</v>
      </c>
      <c r="BF44" s="3">
        <v>0.01</v>
      </c>
      <c r="BG44" s="3">
        <v>0.08</v>
      </c>
      <c r="BH44" s="3" t="s">
        <v>273</v>
      </c>
      <c r="BI44" s="3" t="s">
        <v>273</v>
      </c>
      <c r="BJ44" s="3" t="s">
        <v>273</v>
      </c>
      <c r="BK44" t="s">
        <v>1072</v>
      </c>
      <c r="BL44">
        <v>1</v>
      </c>
      <c r="BM44" s="3">
        <v>33</v>
      </c>
      <c r="BN44" t="s">
        <v>1552</v>
      </c>
      <c r="BO44" s="3" t="s">
        <v>1119</v>
      </c>
      <c r="BP44" s="3" t="s">
        <v>243</v>
      </c>
      <c r="BQ44" s="3">
        <v>60</v>
      </c>
      <c r="BR44" s="3">
        <v>2</v>
      </c>
      <c r="BS44" s="3" t="s">
        <v>1130</v>
      </c>
      <c r="BT44" s="3">
        <v>2</v>
      </c>
      <c r="BU44" s="3" t="s">
        <v>1138</v>
      </c>
      <c r="BV44" s="3" t="s">
        <v>1468</v>
      </c>
      <c r="BW44" t="s">
        <v>273</v>
      </c>
      <c r="BX44" t="s">
        <v>736</v>
      </c>
      <c r="BY44" t="s">
        <v>736</v>
      </c>
      <c r="BZ44" t="s">
        <v>1495</v>
      </c>
      <c r="CA44" t="s">
        <v>1191</v>
      </c>
      <c r="CB44" t="s">
        <v>1240</v>
      </c>
      <c r="CC44" t="s">
        <v>1224</v>
      </c>
      <c r="CD44" t="s">
        <v>1211</v>
      </c>
      <c r="CE44" t="s">
        <v>1211</v>
      </c>
      <c r="CF44" t="s">
        <v>1257</v>
      </c>
      <c r="CG44" t="s">
        <v>1165</v>
      </c>
    </row>
    <row r="45" spans="1:85">
      <c r="A45" s="27" t="s">
        <v>145</v>
      </c>
      <c r="B45" t="s">
        <v>1344</v>
      </c>
      <c r="C45">
        <v>2021</v>
      </c>
      <c r="D45" s="3" t="s">
        <v>1370</v>
      </c>
      <c r="E45" t="s">
        <v>148</v>
      </c>
      <c r="F45">
        <v>18</v>
      </c>
      <c r="G45" t="s">
        <v>273</v>
      </c>
      <c r="H45" t="s">
        <v>273</v>
      </c>
      <c r="I45">
        <v>55.3</v>
      </c>
      <c r="J45">
        <v>10.1</v>
      </c>
      <c r="K45">
        <v>17.399999999999999</v>
      </c>
      <c r="L45">
        <v>10.1</v>
      </c>
      <c r="M45" t="s">
        <v>273</v>
      </c>
      <c r="N45" t="s">
        <v>273</v>
      </c>
      <c r="O45">
        <v>41.8</v>
      </c>
      <c r="P45">
        <v>11.3</v>
      </c>
      <c r="Q45" t="s">
        <v>273</v>
      </c>
      <c r="R45" t="s">
        <v>273</v>
      </c>
      <c r="S45" t="s">
        <v>273</v>
      </c>
      <c r="T45" t="s">
        <v>273</v>
      </c>
      <c r="U45" t="s">
        <v>273</v>
      </c>
      <c r="V45" t="s">
        <v>273</v>
      </c>
      <c r="W45">
        <v>3</v>
      </c>
      <c r="X45">
        <v>4</v>
      </c>
      <c r="Y45" t="s">
        <v>290</v>
      </c>
      <c r="Z45" t="s">
        <v>736</v>
      </c>
      <c r="AA45" t="s">
        <v>273</v>
      </c>
      <c r="AB45" t="s">
        <v>273</v>
      </c>
      <c r="AC45" t="s">
        <v>527</v>
      </c>
      <c r="AD45" t="s">
        <v>1270</v>
      </c>
      <c r="AE45" t="s">
        <v>1112</v>
      </c>
      <c r="AF45" t="s">
        <v>272</v>
      </c>
      <c r="AG45" t="s">
        <v>1423</v>
      </c>
      <c r="AH45" t="s">
        <v>1432</v>
      </c>
      <c r="AI45" t="s">
        <v>910</v>
      </c>
      <c r="AJ45">
        <v>2700</v>
      </c>
      <c r="AK45">
        <v>30</v>
      </c>
      <c r="AL45">
        <v>253</v>
      </c>
      <c r="AM45">
        <f t="shared" si="1"/>
        <v>11.385</v>
      </c>
      <c r="AN45" t="s">
        <v>566</v>
      </c>
      <c r="AO45">
        <v>3</v>
      </c>
      <c r="AP45" t="s">
        <v>271</v>
      </c>
      <c r="AQ45" t="s">
        <v>1444</v>
      </c>
      <c r="AR45" s="6" t="s">
        <v>1444</v>
      </c>
      <c r="AS45" t="s">
        <v>269</v>
      </c>
      <c r="AT45" t="s">
        <v>269</v>
      </c>
      <c r="AU45" t="s">
        <v>269</v>
      </c>
      <c r="AV45" s="6" t="s">
        <v>1444</v>
      </c>
      <c r="AW45" t="s">
        <v>273</v>
      </c>
      <c r="AX45" t="s">
        <v>273</v>
      </c>
      <c r="AY45" t="s">
        <v>273</v>
      </c>
      <c r="AZ45" t="s">
        <v>273</v>
      </c>
      <c r="BA45" t="s">
        <v>273</v>
      </c>
      <c r="BB45" t="s">
        <v>273</v>
      </c>
      <c r="BC45" t="s">
        <v>273</v>
      </c>
      <c r="BD45" t="s">
        <v>270</v>
      </c>
      <c r="BE45" t="s">
        <v>1466</v>
      </c>
      <c r="BF45">
        <v>7.8E-2</v>
      </c>
      <c r="BG45" t="s">
        <v>273</v>
      </c>
      <c r="BH45" t="s">
        <v>273</v>
      </c>
      <c r="BI45" t="s">
        <v>273</v>
      </c>
      <c r="BJ45" t="s">
        <v>273</v>
      </c>
      <c r="BK45" t="s">
        <v>1073</v>
      </c>
      <c r="BL45">
        <v>8</v>
      </c>
      <c r="BM45">
        <v>25</v>
      </c>
      <c r="BN45" t="s">
        <v>1553</v>
      </c>
      <c r="BO45" s="3" t="s">
        <v>687</v>
      </c>
      <c r="BP45" s="3" t="s">
        <v>243</v>
      </c>
      <c r="BQ45">
        <v>59.4</v>
      </c>
      <c r="BR45">
        <v>2.7</v>
      </c>
      <c r="BS45" s="3" t="s">
        <v>1130</v>
      </c>
      <c r="BT45">
        <v>2</v>
      </c>
      <c r="BU45" t="s">
        <v>1133</v>
      </c>
      <c r="BV45" t="s">
        <v>1473</v>
      </c>
      <c r="BW45" t="s">
        <v>1475</v>
      </c>
      <c r="BX45" t="s">
        <v>285</v>
      </c>
      <c r="BY45" t="s">
        <v>736</v>
      </c>
      <c r="BZ45" t="s">
        <v>1499</v>
      </c>
      <c r="CA45" t="s">
        <v>1211</v>
      </c>
      <c r="CB45" t="s">
        <v>1211</v>
      </c>
      <c r="CC45" t="s">
        <v>1211</v>
      </c>
      <c r="CD45" t="s">
        <v>1207</v>
      </c>
      <c r="CE45" t="s">
        <v>1222</v>
      </c>
      <c r="CF45" t="s">
        <v>1258</v>
      </c>
      <c r="CG45" t="s">
        <v>1166</v>
      </c>
    </row>
    <row r="46" spans="1:85">
      <c r="A46" s="3" t="s">
        <v>149</v>
      </c>
      <c r="B46" s="3" t="s">
        <v>1345</v>
      </c>
      <c r="C46" s="3">
        <v>2025</v>
      </c>
      <c r="D46" s="3" t="s">
        <v>1371</v>
      </c>
      <c r="E46" s="3" t="s">
        <v>152</v>
      </c>
      <c r="F46" s="3">
        <v>37</v>
      </c>
      <c r="G46" s="3" t="s">
        <v>273</v>
      </c>
      <c r="H46" s="3" t="s">
        <v>273</v>
      </c>
      <c r="I46" s="3">
        <v>65.599999999999994</v>
      </c>
      <c r="J46" s="3">
        <v>8.1</v>
      </c>
      <c r="K46" s="3">
        <v>23.7</v>
      </c>
      <c r="L46" s="3">
        <v>10.5</v>
      </c>
      <c r="M46" s="3" t="s">
        <v>273</v>
      </c>
      <c r="N46" s="3" t="s">
        <v>273</v>
      </c>
      <c r="O46" s="3" t="s">
        <v>273</v>
      </c>
      <c r="P46" s="3" t="s">
        <v>273</v>
      </c>
      <c r="Q46" s="3" t="s">
        <v>273</v>
      </c>
      <c r="R46" s="3" t="s">
        <v>273</v>
      </c>
      <c r="S46" s="3" t="s">
        <v>273</v>
      </c>
      <c r="T46" s="3" t="s">
        <v>273</v>
      </c>
      <c r="U46" s="3">
        <v>2</v>
      </c>
      <c r="V46" s="3">
        <v>1.25</v>
      </c>
      <c r="W46" s="3" t="s">
        <v>273</v>
      </c>
      <c r="X46" s="3" t="s">
        <v>273</v>
      </c>
      <c r="Y46" s="3" t="s">
        <v>290</v>
      </c>
      <c r="Z46" s="3">
        <v>30</v>
      </c>
      <c r="AA46" s="3">
        <v>62.2</v>
      </c>
      <c r="AB46" s="3">
        <v>8.1</v>
      </c>
      <c r="AC46" s="3" t="s">
        <v>331</v>
      </c>
      <c r="AD46" s="3" t="s">
        <v>1273</v>
      </c>
      <c r="AE46" s="3" t="s">
        <v>1107</v>
      </c>
      <c r="AF46" s="3" t="s">
        <v>272</v>
      </c>
      <c r="AG46" s="3" t="s">
        <v>1424</v>
      </c>
      <c r="AH46" s="3" t="s">
        <v>1432</v>
      </c>
      <c r="AI46" s="3" t="s">
        <v>910</v>
      </c>
      <c r="AJ46" s="3">
        <v>2000</v>
      </c>
      <c r="AK46" s="3">
        <v>3.1</v>
      </c>
      <c r="AL46" s="8">
        <v>235</v>
      </c>
      <c r="AM46" s="3">
        <f t="shared" si="1"/>
        <v>7.833333333333333</v>
      </c>
      <c r="AN46" s="3" t="s">
        <v>341</v>
      </c>
      <c r="AO46" s="3">
        <v>3</v>
      </c>
      <c r="AP46" s="3" t="s">
        <v>273</v>
      </c>
      <c r="AQ46" s="3" t="s">
        <v>269</v>
      </c>
      <c r="AR46" s="3" t="s">
        <v>269</v>
      </c>
      <c r="AS46" s="3" t="s">
        <v>269</v>
      </c>
      <c r="AT46" s="3" t="s">
        <v>269</v>
      </c>
      <c r="AU46" s="3" t="s">
        <v>269</v>
      </c>
      <c r="AV46" s="3" t="s">
        <v>269</v>
      </c>
      <c r="AW46" t="s">
        <v>273</v>
      </c>
      <c r="AX46" t="s">
        <v>273</v>
      </c>
      <c r="AY46" t="s">
        <v>273</v>
      </c>
      <c r="AZ46" t="s">
        <v>273</v>
      </c>
      <c r="BA46" t="s">
        <v>273</v>
      </c>
      <c r="BB46" t="s">
        <v>1453</v>
      </c>
      <c r="BC46" t="s">
        <v>273</v>
      </c>
      <c r="BD46" s="3" t="s">
        <v>266</v>
      </c>
      <c r="BE46" s="3" t="s">
        <v>273</v>
      </c>
      <c r="BF46" s="3" t="s">
        <v>273</v>
      </c>
      <c r="BG46" s="3" t="s">
        <v>273</v>
      </c>
      <c r="BH46" s="3" t="s">
        <v>273</v>
      </c>
      <c r="BI46" s="3" t="s">
        <v>273</v>
      </c>
      <c r="BJ46" s="3" t="s">
        <v>273</v>
      </c>
      <c r="BK46" t="s">
        <v>1073</v>
      </c>
      <c r="BL46">
        <v>8</v>
      </c>
      <c r="BM46" s="3">
        <v>23</v>
      </c>
      <c r="BN46" t="s">
        <v>1554</v>
      </c>
      <c r="BO46" s="3" t="s">
        <v>687</v>
      </c>
      <c r="BP46" s="3" t="s">
        <v>243</v>
      </c>
      <c r="BQ46" s="3">
        <v>30</v>
      </c>
      <c r="BR46" s="3">
        <v>2</v>
      </c>
      <c r="BS46" s="3" t="s">
        <v>1130</v>
      </c>
      <c r="BT46" s="3">
        <v>4</v>
      </c>
      <c r="BU46" s="3" t="s">
        <v>389</v>
      </c>
      <c r="BV46" s="3" t="s">
        <v>1468</v>
      </c>
      <c r="BW46" s="3" t="s">
        <v>1476</v>
      </c>
      <c r="BX46" s="3" t="s">
        <v>285</v>
      </c>
      <c r="BY46" t="s">
        <v>736</v>
      </c>
      <c r="BZ46" t="s">
        <v>1500</v>
      </c>
      <c r="CA46" t="s">
        <v>1531</v>
      </c>
      <c r="CB46" t="s">
        <v>1532</v>
      </c>
      <c r="CC46" t="s">
        <v>1224</v>
      </c>
      <c r="CD46" t="s">
        <v>1241</v>
      </c>
      <c r="CE46" t="s">
        <v>1219</v>
      </c>
      <c r="CF46" t="s">
        <v>1259</v>
      </c>
      <c r="CG46" t="s">
        <v>1167</v>
      </c>
    </row>
    <row r="47" spans="1:85">
      <c r="A47" s="3" t="s">
        <v>149</v>
      </c>
      <c r="B47" s="3" t="s">
        <v>1345</v>
      </c>
      <c r="C47" s="3">
        <v>2025</v>
      </c>
      <c r="D47" t="s">
        <v>1371</v>
      </c>
      <c r="E47" s="3" t="s">
        <v>152</v>
      </c>
      <c r="F47" s="3">
        <v>33</v>
      </c>
      <c r="G47" s="3" t="s">
        <v>273</v>
      </c>
      <c r="H47" s="3" t="s">
        <v>273</v>
      </c>
      <c r="I47" s="3">
        <v>64</v>
      </c>
      <c r="J47" s="3">
        <v>8.9</v>
      </c>
      <c r="K47" s="3">
        <v>28.1</v>
      </c>
      <c r="L47" s="3">
        <v>9.6999999999999993</v>
      </c>
      <c r="M47" s="3" t="s">
        <v>273</v>
      </c>
      <c r="N47" s="3" t="s">
        <v>273</v>
      </c>
      <c r="O47" s="3" t="s">
        <v>273</v>
      </c>
      <c r="P47" s="3" t="s">
        <v>273</v>
      </c>
      <c r="Q47" s="3" t="s">
        <v>273</v>
      </c>
      <c r="R47" s="3" t="s">
        <v>273</v>
      </c>
      <c r="S47" s="3" t="s">
        <v>273</v>
      </c>
      <c r="T47" s="3" t="s">
        <v>273</v>
      </c>
      <c r="U47" s="3">
        <v>2</v>
      </c>
      <c r="V47" s="3">
        <v>0.75</v>
      </c>
      <c r="W47" s="3" t="s">
        <v>273</v>
      </c>
      <c r="X47" s="3" t="s">
        <v>273</v>
      </c>
      <c r="Y47" s="3" t="s">
        <v>290</v>
      </c>
      <c r="Z47" s="3">
        <v>30</v>
      </c>
      <c r="AA47" s="3">
        <v>62.2</v>
      </c>
      <c r="AB47" s="3">
        <v>8.1</v>
      </c>
      <c r="AC47" s="3" t="s">
        <v>331</v>
      </c>
      <c r="AD47" s="3" t="s">
        <v>1273</v>
      </c>
      <c r="AE47" s="3" t="s">
        <v>1113</v>
      </c>
      <c r="AF47" s="3" t="s">
        <v>272</v>
      </c>
      <c r="AG47" s="3" t="s">
        <v>1424</v>
      </c>
      <c r="AH47" s="3" t="s">
        <v>1432</v>
      </c>
      <c r="AI47" s="3" t="s">
        <v>910</v>
      </c>
      <c r="AJ47" s="3">
        <v>2000</v>
      </c>
      <c r="AK47" s="3">
        <v>3.1</v>
      </c>
      <c r="AL47" s="8">
        <v>235</v>
      </c>
      <c r="AM47" s="3">
        <f t="shared" si="1"/>
        <v>7.833333333333333</v>
      </c>
      <c r="AN47" s="3" t="s">
        <v>341</v>
      </c>
      <c r="AO47" s="3">
        <v>3</v>
      </c>
      <c r="AP47" s="3" t="s">
        <v>273</v>
      </c>
      <c r="AQ47" s="3" t="s">
        <v>269</v>
      </c>
      <c r="AR47" s="3" t="s">
        <v>269</v>
      </c>
      <c r="AS47" s="3" t="s">
        <v>269</v>
      </c>
      <c r="AT47" s="3" t="s">
        <v>269</v>
      </c>
      <c r="AU47" s="3" t="s">
        <v>269</v>
      </c>
      <c r="AV47" s="3" t="s">
        <v>269</v>
      </c>
      <c r="AW47" t="s">
        <v>273</v>
      </c>
      <c r="AX47" t="s">
        <v>273</v>
      </c>
      <c r="AY47" t="s">
        <v>273</v>
      </c>
      <c r="AZ47" t="s">
        <v>273</v>
      </c>
      <c r="BA47" t="s">
        <v>273</v>
      </c>
      <c r="BB47" t="s">
        <v>1453</v>
      </c>
      <c r="BC47" t="s">
        <v>273</v>
      </c>
      <c r="BD47" s="3" t="s">
        <v>266</v>
      </c>
      <c r="BE47" s="3" t="s">
        <v>273</v>
      </c>
      <c r="BF47" s="3" t="s">
        <v>273</v>
      </c>
      <c r="BG47" s="3" t="s">
        <v>273</v>
      </c>
      <c r="BH47" s="3" t="s">
        <v>273</v>
      </c>
      <c r="BI47" s="3" t="s">
        <v>273</v>
      </c>
      <c r="BJ47" s="3" t="s">
        <v>273</v>
      </c>
      <c r="BK47" t="s">
        <v>1073</v>
      </c>
      <c r="BL47">
        <v>8</v>
      </c>
      <c r="BM47" s="3">
        <v>23</v>
      </c>
      <c r="BN47" t="s">
        <v>1554</v>
      </c>
      <c r="BO47" s="3" t="s">
        <v>687</v>
      </c>
      <c r="BP47" s="3" t="s">
        <v>243</v>
      </c>
      <c r="BQ47" s="3">
        <v>30</v>
      </c>
      <c r="BR47" s="3">
        <v>2</v>
      </c>
      <c r="BS47" s="3" t="s">
        <v>1130</v>
      </c>
      <c r="BT47" s="3">
        <v>4</v>
      </c>
      <c r="BU47" s="3" t="s">
        <v>389</v>
      </c>
      <c r="BV47" s="3" t="s">
        <v>1468</v>
      </c>
      <c r="BW47" s="3" t="s">
        <v>1476</v>
      </c>
      <c r="BX47" s="3" t="s">
        <v>285</v>
      </c>
      <c r="BY47" t="s">
        <v>736</v>
      </c>
      <c r="BZ47" t="s">
        <v>1500</v>
      </c>
      <c r="CA47" t="s">
        <v>1531</v>
      </c>
      <c r="CB47" t="s">
        <v>1532</v>
      </c>
      <c r="CC47" t="s">
        <v>1224</v>
      </c>
      <c r="CD47" t="s">
        <v>1241</v>
      </c>
      <c r="CE47" t="s">
        <v>1219</v>
      </c>
      <c r="CF47" t="s">
        <v>1259</v>
      </c>
      <c r="CG47" t="s">
        <v>1167</v>
      </c>
    </row>
    <row r="48" spans="1:85">
      <c r="A48" s="27" t="s">
        <v>153</v>
      </c>
      <c r="B48" t="s">
        <v>1346</v>
      </c>
      <c r="C48">
        <v>2015</v>
      </c>
      <c r="D48" s="3" t="s">
        <v>1372</v>
      </c>
      <c r="E48" t="s">
        <v>156</v>
      </c>
      <c r="F48">
        <v>12</v>
      </c>
      <c r="G48" t="s">
        <v>273</v>
      </c>
      <c r="H48" t="s">
        <v>273</v>
      </c>
      <c r="I48" t="s">
        <v>273</v>
      </c>
      <c r="J48" t="s">
        <v>273</v>
      </c>
      <c r="K48" t="s">
        <v>273</v>
      </c>
      <c r="L48" t="s">
        <v>273</v>
      </c>
      <c r="M48" t="s">
        <v>273</v>
      </c>
      <c r="N48" t="s">
        <v>273</v>
      </c>
      <c r="O48" t="s">
        <v>273</v>
      </c>
      <c r="P48" t="s">
        <v>273</v>
      </c>
      <c r="Q48" t="s">
        <v>273</v>
      </c>
      <c r="R48" t="s">
        <v>273</v>
      </c>
      <c r="S48" t="s">
        <v>273</v>
      </c>
      <c r="T48" t="s">
        <v>273</v>
      </c>
      <c r="U48" t="s">
        <v>273</v>
      </c>
      <c r="V48" t="s">
        <v>273</v>
      </c>
      <c r="W48" t="s">
        <v>273</v>
      </c>
      <c r="X48" t="s">
        <v>273</v>
      </c>
      <c r="Y48" t="s">
        <v>736</v>
      </c>
      <c r="Z48">
        <v>10</v>
      </c>
      <c r="AA48" t="s">
        <v>273</v>
      </c>
      <c r="AB48" t="s">
        <v>273</v>
      </c>
      <c r="AC48" t="s">
        <v>331</v>
      </c>
      <c r="AD48" t="s">
        <v>1271</v>
      </c>
      <c r="AE48" t="s">
        <v>1272</v>
      </c>
      <c r="AF48" t="s">
        <v>272</v>
      </c>
      <c r="AG48" t="s">
        <v>1425</v>
      </c>
      <c r="AH48" t="s">
        <v>1432</v>
      </c>
      <c r="AI48" t="s">
        <v>910</v>
      </c>
      <c r="AJ48">
        <v>1985</v>
      </c>
      <c r="AK48">
        <v>37</v>
      </c>
      <c r="AL48" s="6" t="s">
        <v>273</v>
      </c>
      <c r="AM48">
        <v>4</v>
      </c>
      <c r="AN48" s="6" t="s">
        <v>1668</v>
      </c>
      <c r="AO48">
        <v>3</v>
      </c>
      <c r="AP48" t="s">
        <v>273</v>
      </c>
      <c r="AQ48" t="s">
        <v>269</v>
      </c>
      <c r="AR48" t="s">
        <v>269</v>
      </c>
      <c r="AS48" t="s">
        <v>269</v>
      </c>
      <c r="AT48" t="s">
        <v>269</v>
      </c>
      <c r="AU48" t="s">
        <v>269</v>
      </c>
      <c r="AV48" t="s">
        <v>269</v>
      </c>
      <c r="AW48" t="s">
        <v>273</v>
      </c>
      <c r="AX48" t="s">
        <v>273</v>
      </c>
      <c r="AY48" t="s">
        <v>273</v>
      </c>
      <c r="AZ48" t="s">
        <v>273</v>
      </c>
      <c r="BA48" t="s">
        <v>273</v>
      </c>
      <c r="BB48" t="s">
        <v>273</v>
      </c>
      <c r="BC48" t="s">
        <v>273</v>
      </c>
      <c r="BD48" t="s">
        <v>273</v>
      </c>
      <c r="BE48" t="s">
        <v>273</v>
      </c>
      <c r="BF48" t="s">
        <v>273</v>
      </c>
      <c r="BG48" t="s">
        <v>273</v>
      </c>
      <c r="BH48" t="s">
        <v>273</v>
      </c>
      <c r="BI48" t="s">
        <v>273</v>
      </c>
      <c r="BJ48" t="s">
        <v>273</v>
      </c>
      <c r="BK48" t="s">
        <v>992</v>
      </c>
      <c r="BL48" t="s">
        <v>910</v>
      </c>
      <c r="BM48">
        <v>48</v>
      </c>
      <c r="BN48" t="s">
        <v>910</v>
      </c>
      <c r="BO48" s="3" t="s">
        <v>1120</v>
      </c>
      <c r="BP48" t="s">
        <v>594</v>
      </c>
      <c r="BQ48">
        <v>32</v>
      </c>
      <c r="BR48" t="s">
        <v>910</v>
      </c>
      <c r="BS48" t="s">
        <v>594</v>
      </c>
      <c r="BT48">
        <v>2</v>
      </c>
      <c r="BU48" s="3" t="s">
        <v>910</v>
      </c>
      <c r="BV48" t="s">
        <v>1477</v>
      </c>
      <c r="BW48" t="s">
        <v>273</v>
      </c>
      <c r="BX48" t="s">
        <v>736</v>
      </c>
      <c r="BY48" t="s">
        <v>736</v>
      </c>
      <c r="BZ48" t="s">
        <v>1178</v>
      </c>
      <c r="CA48" t="s">
        <v>1211</v>
      </c>
      <c r="CB48" t="s">
        <v>1192</v>
      </c>
      <c r="CC48" t="s">
        <v>1218</v>
      </c>
      <c r="CD48" t="s">
        <v>1212</v>
      </c>
      <c r="CE48" t="s">
        <v>1219</v>
      </c>
      <c r="CF48" t="s">
        <v>1517</v>
      </c>
      <c r="CG48" t="s">
        <v>1060</v>
      </c>
    </row>
    <row r="49" spans="1:85">
      <c r="A49" s="3" t="s">
        <v>157</v>
      </c>
      <c r="B49" s="3" t="s">
        <v>1347</v>
      </c>
      <c r="C49" s="3">
        <v>2019</v>
      </c>
      <c r="D49" s="3" t="s">
        <v>1364</v>
      </c>
      <c r="E49" s="3" t="s">
        <v>160</v>
      </c>
      <c r="F49" s="3">
        <v>42</v>
      </c>
      <c r="G49" s="3" t="s">
        <v>273</v>
      </c>
      <c r="H49" s="3" t="s">
        <v>273</v>
      </c>
      <c r="I49" s="3">
        <v>61.14</v>
      </c>
      <c r="J49" s="3">
        <v>7.13</v>
      </c>
      <c r="K49" s="3">
        <v>15.5</v>
      </c>
      <c r="L49" s="3">
        <v>6.36</v>
      </c>
      <c r="M49" s="3" t="s">
        <v>273</v>
      </c>
      <c r="N49" s="3" t="s">
        <v>273</v>
      </c>
      <c r="O49" s="3" t="s">
        <v>273</v>
      </c>
      <c r="P49" s="3" t="s">
        <v>273</v>
      </c>
      <c r="Q49" s="3" t="s">
        <v>273</v>
      </c>
      <c r="R49" s="3" t="s">
        <v>273</v>
      </c>
      <c r="S49" s="3">
        <v>1.33</v>
      </c>
      <c r="T49" s="3">
        <v>0.45</v>
      </c>
      <c r="U49" s="3" t="s">
        <v>273</v>
      </c>
      <c r="V49" s="3" t="s">
        <v>273</v>
      </c>
      <c r="W49" s="3" t="s">
        <v>273</v>
      </c>
      <c r="X49" s="3" t="s">
        <v>273</v>
      </c>
      <c r="Y49" s="3" t="s">
        <v>290</v>
      </c>
      <c r="Z49" s="3">
        <v>40</v>
      </c>
      <c r="AA49" s="3">
        <v>62.68</v>
      </c>
      <c r="AB49" s="3">
        <v>5.73</v>
      </c>
      <c r="AC49" s="3" t="s">
        <v>331</v>
      </c>
      <c r="AD49" s="3" t="s">
        <v>1271</v>
      </c>
      <c r="AE49" s="3" t="s">
        <v>1272</v>
      </c>
      <c r="AF49" s="3" t="s">
        <v>272</v>
      </c>
      <c r="AG49" s="3" t="s">
        <v>1426</v>
      </c>
      <c r="AH49" s="3" t="s">
        <v>1432</v>
      </c>
      <c r="AI49" s="3" t="s">
        <v>910</v>
      </c>
      <c r="AJ49" s="3">
        <v>2000</v>
      </c>
      <c r="AK49" s="3">
        <v>30</v>
      </c>
      <c r="AL49" s="3">
        <v>210</v>
      </c>
      <c r="AM49" s="3">
        <f>AJ49*AL49/60000</f>
        <v>7</v>
      </c>
      <c r="AN49" s="3" t="s">
        <v>604</v>
      </c>
      <c r="AO49" s="3">
        <v>3</v>
      </c>
      <c r="AP49" s="3" t="s">
        <v>428</v>
      </c>
      <c r="AQ49" s="3" t="s">
        <v>1444</v>
      </c>
      <c r="AR49" s="3" t="s">
        <v>269</v>
      </c>
      <c r="AS49" s="3" t="s">
        <v>269</v>
      </c>
      <c r="AT49" s="3" t="s">
        <v>269</v>
      </c>
      <c r="AU49" s="3" t="s">
        <v>269</v>
      </c>
      <c r="AV49" s="3" t="s">
        <v>269</v>
      </c>
      <c r="AW49" s="3" t="s">
        <v>273</v>
      </c>
      <c r="AX49" s="3" t="s">
        <v>273</v>
      </c>
      <c r="AY49" s="3">
        <v>2</v>
      </c>
      <c r="AZ49" s="3">
        <v>2</v>
      </c>
      <c r="BA49" s="3" t="s">
        <v>273</v>
      </c>
      <c r="BB49" s="3" t="s">
        <v>273</v>
      </c>
      <c r="BC49" t="s">
        <v>273</v>
      </c>
      <c r="BD49" s="3" t="s">
        <v>266</v>
      </c>
      <c r="BE49" s="3" t="s">
        <v>1464</v>
      </c>
      <c r="BF49" s="3">
        <v>0.01</v>
      </c>
      <c r="BG49" s="3">
        <v>0.1</v>
      </c>
      <c r="BH49" s="3" t="s">
        <v>273</v>
      </c>
      <c r="BI49" s="3" t="s">
        <v>273</v>
      </c>
      <c r="BJ49" s="3" t="s">
        <v>273</v>
      </c>
      <c r="BK49" t="s">
        <v>1073</v>
      </c>
      <c r="BL49">
        <v>13</v>
      </c>
      <c r="BM49" s="3">
        <v>264</v>
      </c>
      <c r="BN49" t="s">
        <v>1555</v>
      </c>
      <c r="BO49" s="3" t="s">
        <v>1121</v>
      </c>
      <c r="BP49" s="3" t="s">
        <v>243</v>
      </c>
      <c r="BQ49" s="3">
        <v>40</v>
      </c>
      <c r="BR49" s="3">
        <v>40</v>
      </c>
      <c r="BS49" s="3" t="s">
        <v>910</v>
      </c>
      <c r="BT49" s="3" t="s">
        <v>910</v>
      </c>
      <c r="BU49" s="3" t="s">
        <v>910</v>
      </c>
      <c r="BV49" s="3" t="s">
        <v>1141</v>
      </c>
      <c r="BW49" t="s">
        <v>1142</v>
      </c>
      <c r="BX49" s="3" t="s">
        <v>285</v>
      </c>
      <c r="BY49" t="s">
        <v>736</v>
      </c>
      <c r="BZ49" t="s">
        <v>1501</v>
      </c>
      <c r="CA49" t="s">
        <v>1211</v>
      </c>
      <c r="CB49" t="s">
        <v>1211</v>
      </c>
      <c r="CC49" t="s">
        <v>1211</v>
      </c>
      <c r="CD49" t="s">
        <v>1211</v>
      </c>
      <c r="CE49" t="s">
        <v>1211</v>
      </c>
      <c r="CF49" t="s">
        <v>1260</v>
      </c>
      <c r="CG49" t="s">
        <v>1168</v>
      </c>
    </row>
    <row r="50" spans="1:85">
      <c r="A50" s="3" t="s">
        <v>180</v>
      </c>
      <c r="B50" s="3" t="s">
        <v>1348</v>
      </c>
      <c r="C50" s="3">
        <v>2025</v>
      </c>
      <c r="D50" s="3" t="s">
        <v>1360</v>
      </c>
      <c r="E50" s="3" t="s">
        <v>182</v>
      </c>
      <c r="F50" s="3">
        <v>30</v>
      </c>
      <c r="G50" s="3" t="s">
        <v>273</v>
      </c>
      <c r="H50" s="3" t="s">
        <v>273</v>
      </c>
      <c r="I50" s="3">
        <v>64</v>
      </c>
      <c r="J50" s="3">
        <v>9.32</v>
      </c>
      <c r="K50" s="3" t="s">
        <v>273</v>
      </c>
      <c r="L50" s="3" t="s">
        <v>273</v>
      </c>
      <c r="M50" s="3" t="s">
        <v>273</v>
      </c>
      <c r="N50" s="3" t="s">
        <v>273</v>
      </c>
      <c r="O50" s="3">
        <v>22</v>
      </c>
      <c r="P50" s="3">
        <v>9.8000000000000007</v>
      </c>
      <c r="Q50" s="3" t="s">
        <v>273</v>
      </c>
      <c r="R50" s="3" t="s">
        <v>273</v>
      </c>
      <c r="S50" s="3">
        <v>2.13</v>
      </c>
      <c r="T50" s="3">
        <v>0.79</v>
      </c>
      <c r="U50" s="3" t="s">
        <v>273</v>
      </c>
      <c r="V50" s="3" t="s">
        <v>273</v>
      </c>
      <c r="W50" s="3" t="s">
        <v>273</v>
      </c>
      <c r="X50" s="3" t="s">
        <v>273</v>
      </c>
      <c r="Y50" s="3" t="s">
        <v>289</v>
      </c>
      <c r="Z50" s="3">
        <v>37</v>
      </c>
      <c r="AA50" s="3">
        <v>60.86</v>
      </c>
      <c r="AB50" s="3">
        <v>7.23</v>
      </c>
      <c r="AC50" s="3" t="s">
        <v>331</v>
      </c>
      <c r="AD50" s="3" t="s">
        <v>1274</v>
      </c>
      <c r="AE50" s="3" t="s">
        <v>1114</v>
      </c>
      <c r="AF50" s="3" t="s">
        <v>272</v>
      </c>
      <c r="AG50" s="3" t="s">
        <v>1655</v>
      </c>
      <c r="AH50" s="3" t="s">
        <v>1432</v>
      </c>
      <c r="AI50" s="3" t="s">
        <v>910</v>
      </c>
      <c r="AJ50" s="3">
        <v>1500</v>
      </c>
      <c r="AK50" s="3">
        <v>31</v>
      </c>
      <c r="AL50" s="3">
        <v>300</v>
      </c>
      <c r="AM50" s="3">
        <f t="shared" ref="AM50:AM61" si="2">AJ50*AL50/60000</f>
        <v>7.5</v>
      </c>
      <c r="AN50" s="3" t="s">
        <v>628</v>
      </c>
      <c r="AO50" s="3">
        <v>3</v>
      </c>
      <c r="AP50" s="3" t="s">
        <v>271</v>
      </c>
      <c r="AQ50" s="3" t="s">
        <v>269</v>
      </c>
      <c r="AR50" s="3" t="s">
        <v>269</v>
      </c>
      <c r="AS50" s="3" t="s">
        <v>269</v>
      </c>
      <c r="AT50" s="3" t="s">
        <v>1444</v>
      </c>
      <c r="AU50" s="3" t="s">
        <v>1444</v>
      </c>
      <c r="AV50" s="3" t="s">
        <v>269</v>
      </c>
      <c r="AW50" t="s">
        <v>273</v>
      </c>
      <c r="AX50" t="s">
        <v>273</v>
      </c>
      <c r="AY50">
        <v>2.5</v>
      </c>
      <c r="AZ50">
        <v>2.5</v>
      </c>
      <c r="BA50" t="s">
        <v>273</v>
      </c>
      <c r="BB50" t="s">
        <v>273</v>
      </c>
      <c r="BC50" t="s">
        <v>273</v>
      </c>
      <c r="BD50" s="3" t="s">
        <v>266</v>
      </c>
      <c r="BE50" s="3" t="s">
        <v>1465</v>
      </c>
      <c r="BF50" s="3" t="s">
        <v>273</v>
      </c>
      <c r="BG50" s="3">
        <v>0.1</v>
      </c>
      <c r="BH50" s="3" t="s">
        <v>273</v>
      </c>
      <c r="BI50" s="3" t="s">
        <v>273</v>
      </c>
      <c r="BJ50" s="3" t="s">
        <v>273</v>
      </c>
      <c r="BK50" t="s">
        <v>1073</v>
      </c>
      <c r="BL50">
        <v>7</v>
      </c>
      <c r="BM50" s="3">
        <v>15</v>
      </c>
      <c r="BN50" t="s">
        <v>1556</v>
      </c>
      <c r="BO50" s="3" t="s">
        <v>687</v>
      </c>
      <c r="BP50" s="3" t="s">
        <v>243</v>
      </c>
      <c r="BQ50" s="3">
        <v>45</v>
      </c>
      <c r="BR50" s="3">
        <v>1.5</v>
      </c>
      <c r="BS50" s="3" t="s">
        <v>1130</v>
      </c>
      <c r="BT50" s="3">
        <v>4</v>
      </c>
      <c r="BU50" s="3" t="s">
        <v>389</v>
      </c>
      <c r="BV50" s="3" t="s">
        <v>1468</v>
      </c>
      <c r="BW50" t="s">
        <v>273</v>
      </c>
      <c r="BX50" s="3" t="s">
        <v>285</v>
      </c>
      <c r="BY50" t="s">
        <v>736</v>
      </c>
      <c r="BZ50" t="s">
        <v>1502</v>
      </c>
      <c r="CA50" t="s">
        <v>1211</v>
      </c>
      <c r="CB50" t="s">
        <v>1533</v>
      </c>
      <c r="CC50" t="s">
        <v>1218</v>
      </c>
      <c r="CD50" t="s">
        <v>1211</v>
      </c>
      <c r="CE50" t="s">
        <v>1211</v>
      </c>
      <c r="CF50" t="s">
        <v>1261</v>
      </c>
      <c r="CG50" t="s">
        <v>1169</v>
      </c>
    </row>
    <row r="51" spans="1:85">
      <c r="A51" s="3" t="s">
        <v>180</v>
      </c>
      <c r="B51" s="3" t="s">
        <v>1348</v>
      </c>
      <c r="C51" s="3">
        <v>2025</v>
      </c>
      <c r="D51" t="s">
        <v>1360</v>
      </c>
      <c r="E51" s="3" t="s">
        <v>182</v>
      </c>
      <c r="F51" s="3">
        <v>37</v>
      </c>
      <c r="G51" s="3" t="s">
        <v>273</v>
      </c>
      <c r="H51" s="3" t="s">
        <v>273</v>
      </c>
      <c r="I51" s="3">
        <v>63.57</v>
      </c>
      <c r="J51" s="3">
        <v>8.2799999999999994</v>
      </c>
      <c r="K51" s="3" t="s">
        <v>273</v>
      </c>
      <c r="L51" s="3" t="s">
        <v>273</v>
      </c>
      <c r="M51" s="3" t="s">
        <v>273</v>
      </c>
      <c r="N51" s="3" t="s">
        <v>273</v>
      </c>
      <c r="O51" s="3">
        <v>22.51</v>
      </c>
      <c r="P51" s="3">
        <v>12.3</v>
      </c>
      <c r="Q51" s="3" t="s">
        <v>273</v>
      </c>
      <c r="R51" s="3" t="s">
        <v>273</v>
      </c>
      <c r="S51" s="3">
        <v>1.92</v>
      </c>
      <c r="T51" s="3">
        <v>0.67</v>
      </c>
      <c r="U51" s="3" t="s">
        <v>273</v>
      </c>
      <c r="V51" s="3" t="s">
        <v>273</v>
      </c>
      <c r="W51" s="3" t="s">
        <v>273</v>
      </c>
      <c r="X51" s="3" t="s">
        <v>273</v>
      </c>
      <c r="Y51" s="3" t="s">
        <v>289</v>
      </c>
      <c r="Z51" s="3">
        <v>37</v>
      </c>
      <c r="AA51" s="3">
        <v>60.86</v>
      </c>
      <c r="AB51" s="3">
        <v>7.23</v>
      </c>
      <c r="AC51" s="3" t="s">
        <v>331</v>
      </c>
      <c r="AD51" s="3" t="s">
        <v>1274</v>
      </c>
      <c r="AE51" s="3" t="s">
        <v>1114</v>
      </c>
      <c r="AF51" s="3" t="s">
        <v>272</v>
      </c>
      <c r="AG51" s="3" t="s">
        <v>1655</v>
      </c>
      <c r="AH51" s="3" t="s">
        <v>1432</v>
      </c>
      <c r="AI51" s="3" t="s">
        <v>910</v>
      </c>
      <c r="AJ51" s="3">
        <v>1500</v>
      </c>
      <c r="AK51" s="3">
        <v>31</v>
      </c>
      <c r="AL51" s="3">
        <v>300</v>
      </c>
      <c r="AM51" s="3">
        <f t="shared" si="2"/>
        <v>7.5</v>
      </c>
      <c r="AN51" s="3" t="s">
        <v>628</v>
      </c>
      <c r="AO51" s="3">
        <v>3</v>
      </c>
      <c r="AP51" s="3" t="s">
        <v>271</v>
      </c>
      <c r="AQ51" s="3" t="s">
        <v>269</v>
      </c>
      <c r="AR51" s="3" t="s">
        <v>269</v>
      </c>
      <c r="AS51" s="3" t="s">
        <v>269</v>
      </c>
      <c r="AT51" s="3" t="s">
        <v>1444</v>
      </c>
      <c r="AU51" s="3" t="s">
        <v>1444</v>
      </c>
      <c r="AV51" s="3" t="s">
        <v>269</v>
      </c>
      <c r="AW51" t="s">
        <v>273</v>
      </c>
      <c r="AX51" t="s">
        <v>273</v>
      </c>
      <c r="AY51">
        <v>2.5</v>
      </c>
      <c r="AZ51">
        <v>2.5</v>
      </c>
      <c r="BA51" t="s">
        <v>273</v>
      </c>
      <c r="BB51" t="s">
        <v>273</v>
      </c>
      <c r="BC51" t="s">
        <v>273</v>
      </c>
      <c r="BD51" s="3" t="s">
        <v>266</v>
      </c>
      <c r="BE51" s="3" t="s">
        <v>1465</v>
      </c>
      <c r="BF51" s="3" t="s">
        <v>273</v>
      </c>
      <c r="BG51" s="3">
        <v>0.1</v>
      </c>
      <c r="BH51" s="3" t="s">
        <v>273</v>
      </c>
      <c r="BI51" s="3" t="s">
        <v>273</v>
      </c>
      <c r="BJ51" s="3" t="s">
        <v>273</v>
      </c>
      <c r="BK51" t="s">
        <v>1073</v>
      </c>
      <c r="BL51">
        <v>7</v>
      </c>
      <c r="BM51" s="3">
        <v>15</v>
      </c>
      <c r="BN51" t="s">
        <v>1556</v>
      </c>
      <c r="BO51" s="3" t="s">
        <v>687</v>
      </c>
      <c r="BP51" s="3" t="s">
        <v>243</v>
      </c>
      <c r="BQ51" s="3">
        <v>45</v>
      </c>
      <c r="BR51" s="3">
        <v>1.5</v>
      </c>
      <c r="BS51" s="3" t="s">
        <v>1130</v>
      </c>
      <c r="BT51">
        <v>4</v>
      </c>
      <c r="BU51" s="3" t="s">
        <v>389</v>
      </c>
      <c r="BV51" s="3" t="s">
        <v>1468</v>
      </c>
      <c r="BW51" t="s">
        <v>273</v>
      </c>
      <c r="BX51" s="3" t="s">
        <v>285</v>
      </c>
      <c r="BY51" t="s">
        <v>736</v>
      </c>
      <c r="BZ51" t="s">
        <v>1502</v>
      </c>
      <c r="CA51" t="s">
        <v>1211</v>
      </c>
      <c r="CB51" t="s">
        <v>1533</v>
      </c>
      <c r="CC51" t="s">
        <v>1218</v>
      </c>
      <c r="CD51" t="s">
        <v>1211</v>
      </c>
      <c r="CE51" t="s">
        <v>1211</v>
      </c>
      <c r="CF51" t="s">
        <v>1261</v>
      </c>
      <c r="CG51" t="s">
        <v>1169</v>
      </c>
    </row>
    <row r="52" spans="1:85">
      <c r="A52" s="27" t="s">
        <v>183</v>
      </c>
      <c r="B52" t="s">
        <v>1349</v>
      </c>
      <c r="C52">
        <v>2020</v>
      </c>
      <c r="D52" t="s">
        <v>1366</v>
      </c>
      <c r="E52" t="s">
        <v>185</v>
      </c>
      <c r="F52">
        <v>50</v>
      </c>
      <c r="G52">
        <v>50</v>
      </c>
      <c r="H52">
        <v>77</v>
      </c>
      <c r="I52">
        <v>65.5</v>
      </c>
      <c r="J52">
        <v>6.27</v>
      </c>
      <c r="K52">
        <v>26.1</v>
      </c>
      <c r="L52">
        <v>8.64</v>
      </c>
      <c r="M52" t="s">
        <v>273</v>
      </c>
      <c r="N52" t="s">
        <v>273</v>
      </c>
      <c r="O52" t="s">
        <v>273</v>
      </c>
      <c r="P52" t="s">
        <v>273</v>
      </c>
      <c r="Q52" t="s">
        <v>273</v>
      </c>
      <c r="R52" t="s">
        <v>273</v>
      </c>
      <c r="S52" t="s">
        <v>273</v>
      </c>
      <c r="T52" t="s">
        <v>273</v>
      </c>
      <c r="U52" t="s">
        <v>273</v>
      </c>
      <c r="V52" t="s">
        <v>273</v>
      </c>
      <c r="W52" t="s">
        <v>273</v>
      </c>
      <c r="X52" t="s">
        <v>273</v>
      </c>
      <c r="Y52" t="s">
        <v>290</v>
      </c>
      <c r="Z52">
        <v>13</v>
      </c>
      <c r="AA52">
        <v>64.400000000000006</v>
      </c>
      <c r="AB52">
        <v>8.65</v>
      </c>
      <c r="AC52" t="s">
        <v>527</v>
      </c>
      <c r="AD52" t="s">
        <v>1248</v>
      </c>
      <c r="AE52" t="s">
        <v>1285</v>
      </c>
      <c r="AF52" t="s">
        <v>272</v>
      </c>
      <c r="AG52" t="s">
        <v>1427</v>
      </c>
      <c r="AH52" t="s">
        <v>1432</v>
      </c>
      <c r="AI52" t="s">
        <v>910</v>
      </c>
      <c r="AJ52">
        <v>1800</v>
      </c>
      <c r="AK52">
        <v>35</v>
      </c>
      <c r="AL52">
        <v>202</v>
      </c>
      <c r="AM52" s="3">
        <f t="shared" si="2"/>
        <v>6.06</v>
      </c>
      <c r="AN52" t="s">
        <v>639</v>
      </c>
      <c r="AO52">
        <v>3</v>
      </c>
      <c r="AP52" t="s">
        <v>273</v>
      </c>
      <c r="AQ52" t="s">
        <v>269</v>
      </c>
      <c r="AR52" t="s">
        <v>269</v>
      </c>
      <c r="AS52" t="s">
        <v>1444</v>
      </c>
      <c r="AT52" t="s">
        <v>269</v>
      </c>
      <c r="AU52" t="s">
        <v>269</v>
      </c>
      <c r="AV52" t="s">
        <v>269</v>
      </c>
      <c r="AW52" t="s">
        <v>273</v>
      </c>
      <c r="AX52" t="s">
        <v>273</v>
      </c>
      <c r="AY52" t="s">
        <v>273</v>
      </c>
      <c r="AZ52" t="s">
        <v>273</v>
      </c>
      <c r="BA52" t="s">
        <v>273</v>
      </c>
      <c r="BB52" t="s">
        <v>1454</v>
      </c>
      <c r="BC52" t="s">
        <v>273</v>
      </c>
      <c r="BD52" t="s">
        <v>273</v>
      </c>
      <c r="BE52" t="s">
        <v>273</v>
      </c>
      <c r="BF52" t="s">
        <v>273</v>
      </c>
      <c r="BG52" t="s">
        <v>273</v>
      </c>
      <c r="BH52" t="s">
        <v>273</v>
      </c>
      <c r="BI52" t="s">
        <v>273</v>
      </c>
      <c r="BJ52" t="s">
        <v>273</v>
      </c>
      <c r="BK52" t="s">
        <v>1073</v>
      </c>
      <c r="BL52">
        <v>7</v>
      </c>
      <c r="BM52">
        <v>196</v>
      </c>
      <c r="BN52" t="s">
        <v>1557</v>
      </c>
      <c r="BO52" s="3" t="s">
        <v>1122</v>
      </c>
      <c r="BP52" s="3" t="s">
        <v>243</v>
      </c>
      <c r="BQ52">
        <v>48.6</v>
      </c>
      <c r="BR52">
        <v>10</v>
      </c>
      <c r="BS52" t="s">
        <v>910</v>
      </c>
      <c r="BT52" t="s">
        <v>910</v>
      </c>
      <c r="BU52" s="3" t="s">
        <v>910</v>
      </c>
      <c r="BV52" t="s">
        <v>910</v>
      </c>
      <c r="BW52" t="s">
        <v>1143</v>
      </c>
      <c r="BX52" t="s">
        <v>736</v>
      </c>
      <c r="BY52" t="s">
        <v>736</v>
      </c>
      <c r="BZ52" t="s">
        <v>910</v>
      </c>
      <c r="CA52" t="s">
        <v>1193</v>
      </c>
      <c r="CB52" t="s">
        <v>1193</v>
      </c>
      <c r="CC52" t="s">
        <v>1211</v>
      </c>
      <c r="CD52" t="s">
        <v>1211</v>
      </c>
      <c r="CE52" t="s">
        <v>1211</v>
      </c>
      <c r="CF52" t="s">
        <v>1518</v>
      </c>
      <c r="CG52" t="s">
        <v>1170</v>
      </c>
    </row>
    <row r="53" spans="1:85">
      <c r="A53" s="27" t="s">
        <v>183</v>
      </c>
      <c r="B53" t="s">
        <v>1349</v>
      </c>
      <c r="C53">
        <v>2020</v>
      </c>
      <c r="D53" s="3" t="s">
        <v>1366</v>
      </c>
      <c r="E53" t="s">
        <v>185</v>
      </c>
      <c r="F53">
        <v>31</v>
      </c>
      <c r="G53">
        <v>54</v>
      </c>
      <c r="H53">
        <v>77</v>
      </c>
      <c r="I53">
        <v>66.2</v>
      </c>
      <c r="J53">
        <v>5.62</v>
      </c>
      <c r="K53" t="s">
        <v>638</v>
      </c>
      <c r="L53" t="s">
        <v>638</v>
      </c>
      <c r="M53" t="s">
        <v>273</v>
      </c>
      <c r="N53" t="s">
        <v>273</v>
      </c>
      <c r="O53" t="s">
        <v>273</v>
      </c>
      <c r="P53" t="s">
        <v>273</v>
      </c>
      <c r="Q53" t="s">
        <v>273</v>
      </c>
      <c r="R53" t="s">
        <v>273</v>
      </c>
      <c r="S53" t="s">
        <v>273</v>
      </c>
      <c r="T53" t="s">
        <v>273</v>
      </c>
      <c r="U53" t="s">
        <v>273</v>
      </c>
      <c r="V53" t="s">
        <v>273</v>
      </c>
      <c r="W53" t="s">
        <v>273</v>
      </c>
      <c r="X53" t="s">
        <v>273</v>
      </c>
      <c r="Y53" t="s">
        <v>290</v>
      </c>
      <c r="Z53">
        <v>13</v>
      </c>
      <c r="AA53">
        <v>64.400000000000006</v>
      </c>
      <c r="AB53">
        <v>8.65</v>
      </c>
      <c r="AC53" t="s">
        <v>527</v>
      </c>
      <c r="AD53" t="s">
        <v>1248</v>
      </c>
      <c r="AE53" t="s">
        <v>1285</v>
      </c>
      <c r="AF53" t="s">
        <v>272</v>
      </c>
      <c r="AG53" t="s">
        <v>1427</v>
      </c>
      <c r="AH53" t="s">
        <v>1432</v>
      </c>
      <c r="AI53" t="s">
        <v>910</v>
      </c>
      <c r="AJ53">
        <v>1800</v>
      </c>
      <c r="AK53">
        <v>35</v>
      </c>
      <c r="AL53">
        <v>202</v>
      </c>
      <c r="AM53" s="3">
        <f t="shared" si="2"/>
        <v>6.06</v>
      </c>
      <c r="AN53" t="s">
        <v>639</v>
      </c>
      <c r="AO53">
        <v>3</v>
      </c>
      <c r="AP53" t="s">
        <v>273</v>
      </c>
      <c r="AQ53" t="s">
        <v>269</v>
      </c>
      <c r="AR53" t="s">
        <v>269</v>
      </c>
      <c r="AS53" t="s">
        <v>1444</v>
      </c>
      <c r="AT53" t="s">
        <v>269</v>
      </c>
      <c r="AU53" t="s">
        <v>269</v>
      </c>
      <c r="AV53" t="s">
        <v>269</v>
      </c>
      <c r="AW53" t="s">
        <v>273</v>
      </c>
      <c r="AX53" t="s">
        <v>273</v>
      </c>
      <c r="AY53" t="s">
        <v>273</v>
      </c>
      <c r="AZ53" t="s">
        <v>273</v>
      </c>
      <c r="BA53" t="s">
        <v>273</v>
      </c>
      <c r="BB53" t="s">
        <v>1454</v>
      </c>
      <c r="BC53" t="s">
        <v>273</v>
      </c>
      <c r="BD53" t="s">
        <v>273</v>
      </c>
      <c r="BE53" t="s">
        <v>273</v>
      </c>
      <c r="BF53" t="s">
        <v>273</v>
      </c>
      <c r="BG53" t="s">
        <v>273</v>
      </c>
      <c r="BH53" t="s">
        <v>273</v>
      </c>
      <c r="BI53" t="s">
        <v>273</v>
      </c>
      <c r="BJ53" t="s">
        <v>273</v>
      </c>
      <c r="BK53" t="s">
        <v>1073</v>
      </c>
      <c r="BL53">
        <v>7</v>
      </c>
      <c r="BM53">
        <v>196</v>
      </c>
      <c r="BN53" t="s">
        <v>1557</v>
      </c>
      <c r="BO53" s="3" t="s">
        <v>1122</v>
      </c>
      <c r="BP53" s="3" t="s">
        <v>243</v>
      </c>
      <c r="BQ53">
        <v>48.6</v>
      </c>
      <c r="BR53">
        <v>10</v>
      </c>
      <c r="BS53" t="s">
        <v>910</v>
      </c>
      <c r="BT53" t="s">
        <v>910</v>
      </c>
      <c r="BU53" s="3" t="s">
        <v>910</v>
      </c>
      <c r="BV53" t="s">
        <v>910</v>
      </c>
      <c r="BW53" t="s">
        <v>1143</v>
      </c>
      <c r="BX53" t="s">
        <v>736</v>
      </c>
      <c r="BY53" t="s">
        <v>736</v>
      </c>
      <c r="BZ53" t="s">
        <v>910</v>
      </c>
      <c r="CA53" t="s">
        <v>1193</v>
      </c>
      <c r="CB53" t="s">
        <v>1193</v>
      </c>
      <c r="CC53" t="s">
        <v>1211</v>
      </c>
      <c r="CD53" t="s">
        <v>1211</v>
      </c>
      <c r="CE53" t="s">
        <v>1211</v>
      </c>
      <c r="CF53" t="s">
        <v>1518</v>
      </c>
      <c r="CG53" t="s">
        <v>1170</v>
      </c>
    </row>
    <row r="54" spans="1:85">
      <c r="A54" s="3" t="s">
        <v>186</v>
      </c>
      <c r="B54" s="3" t="s">
        <v>1350</v>
      </c>
      <c r="C54" s="3">
        <v>2021</v>
      </c>
      <c r="D54" s="3" t="s">
        <v>1373</v>
      </c>
      <c r="E54" s="3" t="s">
        <v>189</v>
      </c>
      <c r="F54" s="3">
        <v>25</v>
      </c>
      <c r="G54" s="3" t="s">
        <v>273</v>
      </c>
      <c r="H54" s="3" t="s">
        <v>273</v>
      </c>
      <c r="I54" s="3">
        <v>65.319999999999993</v>
      </c>
      <c r="J54" s="3">
        <v>8.3849999999999998</v>
      </c>
      <c r="K54" s="3" t="s">
        <v>273</v>
      </c>
      <c r="L54" s="3" t="s">
        <v>273</v>
      </c>
      <c r="M54" s="3" t="s">
        <v>273</v>
      </c>
      <c r="N54" s="3" t="s">
        <v>273</v>
      </c>
      <c r="O54" s="3">
        <v>33.32</v>
      </c>
      <c r="P54" s="3">
        <v>15.247</v>
      </c>
      <c r="Q54" s="3" t="s">
        <v>273</v>
      </c>
      <c r="R54" s="3" t="s">
        <v>273</v>
      </c>
      <c r="S54" s="3">
        <v>2.6</v>
      </c>
      <c r="T54" s="3">
        <v>0.79100000000000004</v>
      </c>
      <c r="U54" s="3" t="s">
        <v>273</v>
      </c>
      <c r="V54" s="3" t="s">
        <v>273</v>
      </c>
      <c r="W54" s="3" t="s">
        <v>273</v>
      </c>
      <c r="X54" s="3" t="s">
        <v>273</v>
      </c>
      <c r="Y54" s="3" t="s">
        <v>289</v>
      </c>
      <c r="Z54" s="3">
        <v>25</v>
      </c>
      <c r="AA54" s="3">
        <v>63.88</v>
      </c>
      <c r="AB54" s="3">
        <v>8.2119999999999997</v>
      </c>
      <c r="AC54" s="3" t="s">
        <v>331</v>
      </c>
      <c r="AD54" s="3" t="s">
        <v>1274</v>
      </c>
      <c r="AE54" s="3" t="s">
        <v>1109</v>
      </c>
      <c r="AF54" s="3" t="s">
        <v>272</v>
      </c>
      <c r="AG54" s="3" t="s">
        <v>943</v>
      </c>
      <c r="AH54" s="3" t="s">
        <v>1432</v>
      </c>
      <c r="AI54" s="3" t="s">
        <v>910</v>
      </c>
      <c r="AJ54" s="3">
        <v>2000</v>
      </c>
      <c r="AK54" s="3">
        <v>30</v>
      </c>
      <c r="AL54" s="3">
        <v>185</v>
      </c>
      <c r="AM54" s="3">
        <f t="shared" si="2"/>
        <v>6.166666666666667</v>
      </c>
      <c r="AN54" s="3" t="s">
        <v>650</v>
      </c>
      <c r="AO54" s="3">
        <v>3</v>
      </c>
      <c r="AP54" s="3" t="s">
        <v>428</v>
      </c>
      <c r="AQ54" s="3" t="s">
        <v>1444</v>
      </c>
      <c r="AR54" s="3" t="s">
        <v>269</v>
      </c>
      <c r="AS54" s="3" t="s">
        <v>269</v>
      </c>
      <c r="AT54" s="3" t="s">
        <v>1444</v>
      </c>
      <c r="AU54" s="3" t="s">
        <v>269</v>
      </c>
      <c r="AV54" s="3" t="s">
        <v>269</v>
      </c>
      <c r="AW54" t="s">
        <v>273</v>
      </c>
      <c r="AX54" t="s">
        <v>273</v>
      </c>
      <c r="AY54">
        <v>3</v>
      </c>
      <c r="AZ54">
        <v>3</v>
      </c>
      <c r="BA54" t="s">
        <v>273</v>
      </c>
      <c r="BB54" s="6" t="s">
        <v>1657</v>
      </c>
      <c r="BC54" t="s">
        <v>273</v>
      </c>
      <c r="BD54" s="3" t="s">
        <v>266</v>
      </c>
      <c r="BE54" s="3" t="s">
        <v>1464</v>
      </c>
      <c r="BF54" s="3">
        <v>0.01</v>
      </c>
      <c r="BG54" s="3">
        <v>0.1</v>
      </c>
      <c r="BH54" s="3" t="s">
        <v>273</v>
      </c>
      <c r="BI54" s="3" t="s">
        <v>273</v>
      </c>
      <c r="BJ54" s="3" t="s">
        <v>273</v>
      </c>
      <c r="BK54" t="s">
        <v>1072</v>
      </c>
      <c r="BL54" s="6">
        <v>14</v>
      </c>
      <c r="BM54" s="3">
        <v>30</v>
      </c>
      <c r="BN54" t="s">
        <v>1558</v>
      </c>
      <c r="BO54" s="3" t="s">
        <v>1123</v>
      </c>
      <c r="BP54" t="s">
        <v>736</v>
      </c>
      <c r="BQ54" s="3">
        <v>60</v>
      </c>
      <c r="BR54" s="3">
        <v>2</v>
      </c>
      <c r="BS54" t="s">
        <v>910</v>
      </c>
      <c r="BT54" s="3" t="s">
        <v>910</v>
      </c>
      <c r="BU54" s="3" t="s">
        <v>910</v>
      </c>
      <c r="BV54" s="3" t="s">
        <v>910</v>
      </c>
      <c r="BW54" t="s">
        <v>273</v>
      </c>
      <c r="BX54" s="3" t="s">
        <v>285</v>
      </c>
      <c r="BY54" t="s">
        <v>736</v>
      </c>
      <c r="BZ54" t="s">
        <v>910</v>
      </c>
      <c r="CA54" t="s">
        <v>1194</v>
      </c>
      <c r="CB54" t="s">
        <v>1194</v>
      </c>
      <c r="CC54" t="s">
        <v>1222</v>
      </c>
      <c r="CD54" t="s">
        <v>1211</v>
      </c>
      <c r="CE54" t="s">
        <v>1211</v>
      </c>
      <c r="CF54" t="s">
        <v>1262</v>
      </c>
      <c r="CG54" t="s">
        <v>1171</v>
      </c>
    </row>
    <row r="55" spans="1:85">
      <c r="A55" s="3" t="s">
        <v>186</v>
      </c>
      <c r="B55" s="3" t="s">
        <v>1350</v>
      </c>
      <c r="C55" s="3">
        <v>2021</v>
      </c>
      <c r="D55" t="s">
        <v>1373</v>
      </c>
      <c r="E55" s="3" t="s">
        <v>189</v>
      </c>
      <c r="F55" s="3">
        <v>25</v>
      </c>
      <c r="G55" s="3" t="s">
        <v>273</v>
      </c>
      <c r="H55" s="3" t="s">
        <v>273</v>
      </c>
      <c r="I55" s="3">
        <v>65.239999999999995</v>
      </c>
      <c r="J55" s="3">
        <v>6.7960000000000003</v>
      </c>
      <c r="K55" s="3" t="s">
        <v>273</v>
      </c>
      <c r="L55" s="3" t="s">
        <v>273</v>
      </c>
      <c r="M55" s="3" t="s">
        <v>273</v>
      </c>
      <c r="N55" s="3" t="s">
        <v>273</v>
      </c>
      <c r="O55" s="3">
        <v>32.96</v>
      </c>
      <c r="P55" s="3">
        <v>10.964</v>
      </c>
      <c r="Q55" s="3" t="s">
        <v>273</v>
      </c>
      <c r="R55" s="3" t="s">
        <v>273</v>
      </c>
      <c r="S55" s="3">
        <v>2.46</v>
      </c>
      <c r="T55" s="3">
        <v>0.72099999999999997</v>
      </c>
      <c r="U55" s="3" t="s">
        <v>273</v>
      </c>
      <c r="V55" s="3" t="s">
        <v>273</v>
      </c>
      <c r="W55" s="3" t="s">
        <v>273</v>
      </c>
      <c r="X55" s="3" t="s">
        <v>273</v>
      </c>
      <c r="Y55" s="3" t="s">
        <v>289</v>
      </c>
      <c r="Z55" s="3">
        <v>25</v>
      </c>
      <c r="AA55" s="3">
        <v>63.88</v>
      </c>
      <c r="AB55" s="3">
        <v>8.2119999999999997</v>
      </c>
      <c r="AC55" s="3" t="s">
        <v>331</v>
      </c>
      <c r="AD55" s="3" t="s">
        <v>1274</v>
      </c>
      <c r="AE55" s="3" t="s">
        <v>1109</v>
      </c>
      <c r="AF55" s="3" t="s">
        <v>272</v>
      </c>
      <c r="AG55" s="3" t="s">
        <v>943</v>
      </c>
      <c r="AH55" s="3" t="s">
        <v>1432</v>
      </c>
      <c r="AI55" s="3" t="s">
        <v>910</v>
      </c>
      <c r="AJ55" s="3">
        <v>2000</v>
      </c>
      <c r="AK55" s="3">
        <v>30</v>
      </c>
      <c r="AL55" s="3">
        <v>185</v>
      </c>
      <c r="AM55" s="3">
        <f t="shared" si="2"/>
        <v>6.166666666666667</v>
      </c>
      <c r="AN55" s="3" t="s">
        <v>650</v>
      </c>
      <c r="AO55" s="3">
        <v>3</v>
      </c>
      <c r="AP55" s="3" t="s">
        <v>428</v>
      </c>
      <c r="AQ55" s="3" t="s">
        <v>1444</v>
      </c>
      <c r="AR55" s="3" t="s">
        <v>269</v>
      </c>
      <c r="AS55" s="3" t="s">
        <v>269</v>
      </c>
      <c r="AT55" s="3" t="s">
        <v>1444</v>
      </c>
      <c r="AU55" s="3" t="s">
        <v>269</v>
      </c>
      <c r="AV55" s="3" t="s">
        <v>269</v>
      </c>
      <c r="AW55" t="s">
        <v>273</v>
      </c>
      <c r="AX55" t="s">
        <v>273</v>
      </c>
      <c r="AY55">
        <v>3</v>
      </c>
      <c r="AZ55">
        <v>3</v>
      </c>
      <c r="BA55" t="s">
        <v>273</v>
      </c>
      <c r="BB55" s="6" t="s">
        <v>1657</v>
      </c>
      <c r="BC55" t="s">
        <v>273</v>
      </c>
      <c r="BD55" s="3" t="s">
        <v>266</v>
      </c>
      <c r="BE55" s="3" t="s">
        <v>1464</v>
      </c>
      <c r="BF55" s="3">
        <v>0.01</v>
      </c>
      <c r="BG55" s="3">
        <v>0.1</v>
      </c>
      <c r="BH55" s="3" t="s">
        <v>273</v>
      </c>
      <c r="BI55" s="3" t="s">
        <v>273</v>
      </c>
      <c r="BJ55" s="3" t="s">
        <v>273</v>
      </c>
      <c r="BK55" t="s">
        <v>1072</v>
      </c>
      <c r="BL55" s="6">
        <v>14</v>
      </c>
      <c r="BM55" s="3">
        <v>30</v>
      </c>
      <c r="BN55" t="s">
        <v>1558</v>
      </c>
      <c r="BO55" s="3" t="s">
        <v>1123</v>
      </c>
      <c r="BP55" t="s">
        <v>736</v>
      </c>
      <c r="BQ55" s="3">
        <v>60</v>
      </c>
      <c r="BR55" s="3">
        <v>2</v>
      </c>
      <c r="BS55" t="s">
        <v>910</v>
      </c>
      <c r="BT55" s="3" t="s">
        <v>910</v>
      </c>
      <c r="BU55" s="3" t="s">
        <v>910</v>
      </c>
      <c r="BV55" s="3" t="s">
        <v>910</v>
      </c>
      <c r="BW55" t="s">
        <v>273</v>
      </c>
      <c r="BX55" s="3" t="s">
        <v>285</v>
      </c>
      <c r="BY55" t="s">
        <v>736</v>
      </c>
      <c r="BZ55" t="s">
        <v>910</v>
      </c>
      <c r="CA55" t="s">
        <v>1194</v>
      </c>
      <c r="CB55" t="s">
        <v>1194</v>
      </c>
      <c r="CC55" t="s">
        <v>1222</v>
      </c>
      <c r="CD55" t="s">
        <v>1211</v>
      </c>
      <c r="CE55" t="s">
        <v>1211</v>
      </c>
      <c r="CF55" t="s">
        <v>1262</v>
      </c>
      <c r="CG55" t="s">
        <v>1171</v>
      </c>
    </row>
    <row r="56" spans="1:85">
      <c r="A56" s="27" t="s">
        <v>190</v>
      </c>
      <c r="B56" t="s">
        <v>1351</v>
      </c>
      <c r="C56">
        <v>2025</v>
      </c>
      <c r="D56" s="3" t="s">
        <v>1374</v>
      </c>
      <c r="E56" t="s">
        <v>193</v>
      </c>
      <c r="F56">
        <v>27</v>
      </c>
      <c r="G56" t="s">
        <v>273</v>
      </c>
      <c r="H56" t="s">
        <v>273</v>
      </c>
      <c r="I56">
        <v>70</v>
      </c>
      <c r="J56">
        <v>6</v>
      </c>
      <c r="K56">
        <v>23.78</v>
      </c>
      <c r="L56">
        <v>11.58</v>
      </c>
      <c r="M56" t="s">
        <v>273</v>
      </c>
      <c r="N56" t="s">
        <v>273</v>
      </c>
      <c r="O56">
        <v>36.369999999999997</v>
      </c>
      <c r="P56">
        <v>12.47</v>
      </c>
      <c r="Q56" t="s">
        <v>273</v>
      </c>
      <c r="R56" t="s">
        <v>273</v>
      </c>
      <c r="S56" t="s">
        <v>273</v>
      </c>
      <c r="T56" t="s">
        <v>273</v>
      </c>
      <c r="U56" t="s">
        <v>273</v>
      </c>
      <c r="V56" t="s">
        <v>273</v>
      </c>
      <c r="W56" t="s">
        <v>273</v>
      </c>
      <c r="X56" t="s">
        <v>273</v>
      </c>
      <c r="Y56" t="s">
        <v>302</v>
      </c>
      <c r="Z56">
        <v>37</v>
      </c>
      <c r="AA56">
        <v>71</v>
      </c>
      <c r="AB56">
        <v>5</v>
      </c>
      <c r="AC56" t="s">
        <v>527</v>
      </c>
      <c r="AD56" t="s">
        <v>1271</v>
      </c>
      <c r="AE56" t="s">
        <v>1272</v>
      </c>
      <c r="AF56" t="s">
        <v>272</v>
      </c>
      <c r="AG56" t="s">
        <v>1428</v>
      </c>
      <c r="AH56" t="s">
        <v>1433</v>
      </c>
      <c r="AI56" t="s">
        <v>662</v>
      </c>
      <c r="AJ56">
        <v>490</v>
      </c>
      <c r="AK56">
        <v>30</v>
      </c>
      <c r="AL56">
        <v>790</v>
      </c>
      <c r="AM56">
        <f t="shared" si="2"/>
        <v>6.4516666666666671</v>
      </c>
      <c r="AN56" t="s">
        <v>663</v>
      </c>
      <c r="AO56">
        <v>3</v>
      </c>
      <c r="AP56" t="s">
        <v>271</v>
      </c>
      <c r="AQ56" t="s">
        <v>269</v>
      </c>
      <c r="AR56" t="s">
        <v>269</v>
      </c>
      <c r="AS56" t="s">
        <v>269</v>
      </c>
      <c r="AT56" t="s">
        <v>1444</v>
      </c>
      <c r="AU56" t="s">
        <v>269</v>
      </c>
      <c r="AV56" t="s">
        <v>269</v>
      </c>
      <c r="AW56" t="s">
        <v>273</v>
      </c>
      <c r="AX56" t="s">
        <v>273</v>
      </c>
      <c r="AY56">
        <v>3</v>
      </c>
      <c r="AZ56" t="s">
        <v>273</v>
      </c>
      <c r="BA56" t="s">
        <v>273</v>
      </c>
      <c r="BB56" s="6" t="s">
        <v>1669</v>
      </c>
      <c r="BC56" t="s">
        <v>273</v>
      </c>
      <c r="BD56" t="s">
        <v>664</v>
      </c>
      <c r="BE56" t="s">
        <v>1466</v>
      </c>
      <c r="BF56">
        <v>8.0000000000000002E-3</v>
      </c>
      <c r="BG56" t="s">
        <v>273</v>
      </c>
      <c r="BH56" t="s">
        <v>273</v>
      </c>
      <c r="BI56" t="s">
        <v>273</v>
      </c>
      <c r="BJ56" t="s">
        <v>273</v>
      </c>
      <c r="BK56" t="s">
        <v>1072</v>
      </c>
      <c r="BL56">
        <v>11</v>
      </c>
      <c r="BM56">
        <v>15</v>
      </c>
      <c r="BN56" t="s">
        <v>1559</v>
      </c>
      <c r="BO56" s="3" t="s">
        <v>1122</v>
      </c>
      <c r="BP56" t="s">
        <v>1126</v>
      </c>
      <c r="BQ56" t="s">
        <v>910</v>
      </c>
      <c r="BR56" t="s">
        <v>910</v>
      </c>
      <c r="BS56" t="s">
        <v>1126</v>
      </c>
      <c r="BT56">
        <v>5</v>
      </c>
      <c r="BU56" t="s">
        <v>1126</v>
      </c>
      <c r="BV56" t="s">
        <v>1473</v>
      </c>
      <c r="BW56" t="s">
        <v>273</v>
      </c>
      <c r="BX56" t="s">
        <v>661</v>
      </c>
      <c r="BY56" t="s">
        <v>661</v>
      </c>
      <c r="BZ56" t="s">
        <v>1179</v>
      </c>
      <c r="CA56" t="s">
        <v>1534</v>
      </c>
      <c r="CB56" t="s">
        <v>1534</v>
      </c>
      <c r="CC56" t="s">
        <v>1211</v>
      </c>
      <c r="CD56" t="s">
        <v>1208</v>
      </c>
      <c r="CE56" t="s">
        <v>1222</v>
      </c>
      <c r="CF56" t="s">
        <v>1519</v>
      </c>
      <c r="CG56" t="s">
        <v>1172</v>
      </c>
    </row>
    <row r="57" spans="1:85">
      <c r="A57" s="3" t="s">
        <v>200</v>
      </c>
      <c r="B57" s="3" t="s">
        <v>1352</v>
      </c>
      <c r="C57" s="3">
        <v>2015</v>
      </c>
      <c r="D57" t="s">
        <v>1375</v>
      </c>
      <c r="E57" s="3" t="s">
        <v>203</v>
      </c>
      <c r="F57" s="3">
        <v>25</v>
      </c>
      <c r="G57" s="3" t="s">
        <v>273</v>
      </c>
      <c r="H57" s="3" t="s">
        <v>273</v>
      </c>
      <c r="I57" s="3">
        <v>66.040000000000006</v>
      </c>
      <c r="J57" s="3">
        <v>10.050000000000001</v>
      </c>
      <c r="K57" s="3">
        <v>23.56</v>
      </c>
      <c r="L57" s="3">
        <v>8.7100000000000009</v>
      </c>
      <c r="M57" s="3" t="s">
        <v>273</v>
      </c>
      <c r="N57" s="3" t="s">
        <v>273</v>
      </c>
      <c r="O57" s="3" t="s">
        <v>273</v>
      </c>
      <c r="P57" s="3" t="s">
        <v>273</v>
      </c>
      <c r="Q57" s="3" t="s">
        <v>273</v>
      </c>
      <c r="R57" s="3" t="s">
        <v>273</v>
      </c>
      <c r="S57" s="3">
        <v>2.04</v>
      </c>
      <c r="T57" s="3" t="s">
        <v>273</v>
      </c>
      <c r="U57" s="3" t="s">
        <v>273</v>
      </c>
      <c r="V57" s="3" t="s">
        <v>273</v>
      </c>
      <c r="W57" s="3">
        <v>1</v>
      </c>
      <c r="X57" s="3">
        <v>2.5</v>
      </c>
      <c r="Y57" s="3" t="s">
        <v>290</v>
      </c>
      <c r="Z57" s="3">
        <v>21</v>
      </c>
      <c r="AA57" s="3">
        <v>61.9</v>
      </c>
      <c r="AB57" s="3">
        <v>10</v>
      </c>
      <c r="AC57" s="3" t="s">
        <v>331</v>
      </c>
      <c r="AD57" s="3" t="s">
        <v>1271</v>
      </c>
      <c r="AE57" s="3" t="s">
        <v>1272</v>
      </c>
      <c r="AF57" s="3" t="s">
        <v>272</v>
      </c>
      <c r="AG57" t="s">
        <v>946</v>
      </c>
      <c r="AH57" s="3" t="s">
        <v>1434</v>
      </c>
      <c r="AI57" s="3" t="s">
        <v>1435</v>
      </c>
      <c r="AJ57" s="3">
        <v>2400</v>
      </c>
      <c r="AK57" s="3">
        <v>25</v>
      </c>
      <c r="AL57" s="3">
        <v>300</v>
      </c>
      <c r="AM57" s="3">
        <f t="shared" si="2"/>
        <v>12</v>
      </c>
      <c r="AN57" s="3" t="s">
        <v>263</v>
      </c>
      <c r="AO57" s="3">
        <v>3</v>
      </c>
      <c r="AP57" s="3" t="s">
        <v>271</v>
      </c>
      <c r="AQ57" s="3" t="s">
        <v>1444</v>
      </c>
      <c r="AR57" s="3" t="s">
        <v>269</v>
      </c>
      <c r="AS57" s="3" t="s">
        <v>269</v>
      </c>
      <c r="AT57" s="3" t="s">
        <v>269</v>
      </c>
      <c r="AU57" s="8" t="s">
        <v>1444</v>
      </c>
      <c r="AV57" s="3" t="s">
        <v>269</v>
      </c>
      <c r="AW57" s="3" t="s">
        <v>273</v>
      </c>
      <c r="AX57" s="3" t="s">
        <v>273</v>
      </c>
      <c r="AY57" s="3" t="s">
        <v>273</v>
      </c>
      <c r="AZ57" s="3" t="s">
        <v>273</v>
      </c>
      <c r="BA57" s="3" t="s">
        <v>273</v>
      </c>
      <c r="BB57" s="3" t="s">
        <v>273</v>
      </c>
      <c r="BC57" t="s">
        <v>273</v>
      </c>
      <c r="BD57" s="3" t="s">
        <v>1535</v>
      </c>
      <c r="BE57" s="3" t="s">
        <v>1466</v>
      </c>
      <c r="BF57" s="3" t="s">
        <v>273</v>
      </c>
      <c r="BG57" s="3" t="s">
        <v>273</v>
      </c>
      <c r="BH57" s="3" t="s">
        <v>273</v>
      </c>
      <c r="BI57" s="3" t="s">
        <v>273</v>
      </c>
      <c r="BJ57" s="3" t="s">
        <v>273</v>
      </c>
      <c r="BK57" t="s">
        <v>1073</v>
      </c>
      <c r="BL57">
        <v>3</v>
      </c>
      <c r="BM57" s="3">
        <v>20</v>
      </c>
      <c r="BN57" t="s">
        <v>1560</v>
      </c>
      <c r="BO57" s="3" t="s">
        <v>1116</v>
      </c>
      <c r="BP57" s="3" t="s">
        <v>243</v>
      </c>
      <c r="BQ57" s="3">
        <v>40.799999999999997</v>
      </c>
      <c r="BR57" s="3">
        <v>2.4</v>
      </c>
      <c r="BS57" s="3" t="s">
        <v>1132</v>
      </c>
      <c r="BT57" s="3">
        <v>4</v>
      </c>
      <c r="BU57" s="3" t="s">
        <v>1139</v>
      </c>
      <c r="BV57" s="3" t="s">
        <v>910</v>
      </c>
      <c r="BW57" t="s">
        <v>273</v>
      </c>
      <c r="BX57" t="s">
        <v>736</v>
      </c>
      <c r="BY57" t="s">
        <v>736</v>
      </c>
      <c r="BZ57" t="s">
        <v>1503</v>
      </c>
      <c r="CA57" t="s">
        <v>1195</v>
      </c>
      <c r="CB57" t="s">
        <v>1195</v>
      </c>
      <c r="CC57" t="s">
        <v>1211</v>
      </c>
      <c r="CD57" s="6" t="s">
        <v>1670</v>
      </c>
      <c r="CE57" t="s">
        <v>1211</v>
      </c>
      <c r="CF57" t="s">
        <v>1263</v>
      </c>
      <c r="CG57" s="6" t="s">
        <v>1671</v>
      </c>
    </row>
    <row r="58" spans="1:85">
      <c r="A58" s="27" t="s">
        <v>204</v>
      </c>
      <c r="B58" t="s">
        <v>1353</v>
      </c>
      <c r="C58">
        <v>2018</v>
      </c>
      <c r="D58" s="3" t="s">
        <v>1376</v>
      </c>
      <c r="E58" t="s">
        <v>207</v>
      </c>
      <c r="F58">
        <v>18</v>
      </c>
      <c r="G58" t="s">
        <v>273</v>
      </c>
      <c r="H58" t="s">
        <v>273</v>
      </c>
      <c r="I58">
        <v>57.11</v>
      </c>
      <c r="J58">
        <v>11.63</v>
      </c>
      <c r="K58" t="s">
        <v>273</v>
      </c>
      <c r="L58" t="s">
        <v>273</v>
      </c>
      <c r="M58" t="s">
        <v>273</v>
      </c>
      <c r="N58" t="s">
        <v>273</v>
      </c>
      <c r="O58" t="s">
        <v>273</v>
      </c>
      <c r="P58" t="s">
        <v>273</v>
      </c>
      <c r="Q58" t="s">
        <v>273</v>
      </c>
      <c r="R58" t="s">
        <v>273</v>
      </c>
      <c r="S58" t="s">
        <v>273</v>
      </c>
      <c r="T58" t="s">
        <v>273</v>
      </c>
      <c r="U58" t="s">
        <v>273</v>
      </c>
      <c r="V58" t="s">
        <v>273</v>
      </c>
      <c r="W58" t="s">
        <v>273</v>
      </c>
      <c r="X58" t="s">
        <v>273</v>
      </c>
      <c r="Y58" t="s">
        <v>289</v>
      </c>
      <c r="Z58">
        <v>18</v>
      </c>
      <c r="AA58">
        <v>64.25</v>
      </c>
      <c r="AB58">
        <v>9.7799999999999994</v>
      </c>
      <c r="AC58" t="s">
        <v>331</v>
      </c>
      <c r="AD58" t="s">
        <v>1271</v>
      </c>
      <c r="AE58" t="s">
        <v>1286</v>
      </c>
      <c r="AF58" t="s">
        <v>921</v>
      </c>
      <c r="AG58" t="s">
        <v>242</v>
      </c>
      <c r="AH58" t="s">
        <v>1432</v>
      </c>
      <c r="AI58" t="s">
        <v>910</v>
      </c>
      <c r="AJ58">
        <v>2400</v>
      </c>
      <c r="AK58">
        <v>25</v>
      </c>
      <c r="AL58">
        <v>210</v>
      </c>
      <c r="AM58">
        <f t="shared" si="2"/>
        <v>8.4</v>
      </c>
      <c r="AN58" t="s">
        <v>353</v>
      </c>
      <c r="AO58">
        <v>3</v>
      </c>
      <c r="AP58" t="s">
        <v>271</v>
      </c>
      <c r="AQ58" t="s">
        <v>269</v>
      </c>
      <c r="AR58" t="s">
        <v>269</v>
      </c>
      <c r="AS58" t="s">
        <v>269</v>
      </c>
      <c r="AT58" t="s">
        <v>269</v>
      </c>
      <c r="AU58" t="s">
        <v>269</v>
      </c>
      <c r="AV58" t="s">
        <v>269</v>
      </c>
      <c r="AW58" t="s">
        <v>273</v>
      </c>
      <c r="AX58" t="s">
        <v>273</v>
      </c>
      <c r="AY58" t="s">
        <v>273</v>
      </c>
      <c r="AZ58" t="s">
        <v>273</v>
      </c>
      <c r="BA58" t="s">
        <v>273</v>
      </c>
      <c r="BB58" t="s">
        <v>273</v>
      </c>
      <c r="BC58" t="s">
        <v>273</v>
      </c>
      <c r="BD58" t="s">
        <v>270</v>
      </c>
      <c r="BE58" t="s">
        <v>273</v>
      </c>
      <c r="BF58" t="s">
        <v>273</v>
      </c>
      <c r="BG58" t="s">
        <v>273</v>
      </c>
      <c r="BH58" t="s">
        <v>273</v>
      </c>
      <c r="BI58" t="s">
        <v>273</v>
      </c>
      <c r="BJ58" t="s">
        <v>273</v>
      </c>
      <c r="BK58" t="s">
        <v>1073</v>
      </c>
      <c r="BL58">
        <v>8</v>
      </c>
      <c r="BM58">
        <v>72</v>
      </c>
      <c r="BN58" t="s">
        <v>1561</v>
      </c>
      <c r="BO58" s="3" t="s">
        <v>687</v>
      </c>
      <c r="BP58" s="3" t="s">
        <v>243</v>
      </c>
      <c r="BQ58" t="s">
        <v>1129</v>
      </c>
      <c r="BR58" t="s">
        <v>910</v>
      </c>
      <c r="BS58" t="s">
        <v>1130</v>
      </c>
      <c r="BT58">
        <v>3</v>
      </c>
      <c r="BU58" t="s">
        <v>700</v>
      </c>
      <c r="BV58" t="s">
        <v>1473</v>
      </c>
      <c r="BW58" t="s">
        <v>273</v>
      </c>
      <c r="BX58" t="s">
        <v>346</v>
      </c>
      <c r="BY58" t="s">
        <v>736</v>
      </c>
      <c r="BZ58" t="s">
        <v>1504</v>
      </c>
      <c r="CA58" t="s">
        <v>1196</v>
      </c>
      <c r="CB58" t="s">
        <v>1197</v>
      </c>
      <c r="CC58" t="s">
        <v>1218</v>
      </c>
      <c r="CD58" t="s">
        <v>1209</v>
      </c>
      <c r="CE58" t="s">
        <v>1219</v>
      </c>
      <c r="CF58" t="s">
        <v>1264</v>
      </c>
      <c r="CG58" t="s">
        <v>273</v>
      </c>
    </row>
    <row r="59" spans="1:85">
      <c r="A59" s="3" t="s">
        <v>208</v>
      </c>
      <c r="B59" s="3" t="s">
        <v>1354</v>
      </c>
      <c r="C59" s="3">
        <v>2018</v>
      </c>
      <c r="D59" t="s">
        <v>1377</v>
      </c>
      <c r="E59" s="3" t="s">
        <v>210</v>
      </c>
      <c r="F59" s="3">
        <v>20</v>
      </c>
      <c r="G59" s="3" t="s">
        <v>273</v>
      </c>
      <c r="H59" s="3" t="s">
        <v>273</v>
      </c>
      <c r="I59" s="3">
        <v>58.03</v>
      </c>
      <c r="J59" s="3">
        <v>11.54</v>
      </c>
      <c r="K59" s="3" t="s">
        <v>273</v>
      </c>
      <c r="L59" s="3" t="s">
        <v>273</v>
      </c>
      <c r="M59" s="3" t="s">
        <v>273</v>
      </c>
      <c r="N59" s="3" t="s">
        <v>273</v>
      </c>
      <c r="O59" s="3">
        <v>15.05</v>
      </c>
      <c r="P59" s="3">
        <v>7.43</v>
      </c>
      <c r="Q59" s="3" t="s">
        <v>273</v>
      </c>
      <c r="R59" s="3" t="s">
        <v>273</v>
      </c>
      <c r="S59" s="3" t="s">
        <v>273</v>
      </c>
      <c r="T59" s="3" t="s">
        <v>273</v>
      </c>
      <c r="U59" s="3" t="s">
        <v>273</v>
      </c>
      <c r="V59" s="3" t="s">
        <v>273</v>
      </c>
      <c r="W59" s="3" t="s">
        <v>273</v>
      </c>
      <c r="X59" s="3" t="s">
        <v>273</v>
      </c>
      <c r="Y59" s="3" t="s">
        <v>289</v>
      </c>
      <c r="Z59" s="3">
        <v>18</v>
      </c>
      <c r="AA59" s="3">
        <v>64.25</v>
      </c>
      <c r="AB59" s="3">
        <v>9.5</v>
      </c>
      <c r="AC59" s="3" t="s">
        <v>331</v>
      </c>
      <c r="AD59" s="3" t="s">
        <v>1271</v>
      </c>
      <c r="AE59" s="3" t="s">
        <v>1286</v>
      </c>
      <c r="AF59" t="s">
        <v>921</v>
      </c>
      <c r="AG59" t="s">
        <v>242</v>
      </c>
      <c r="AH59" s="3" t="s">
        <v>1432</v>
      </c>
      <c r="AI59" s="3" t="s">
        <v>910</v>
      </c>
      <c r="AJ59" s="3">
        <v>2400</v>
      </c>
      <c r="AK59" s="3">
        <v>25</v>
      </c>
      <c r="AL59" s="3">
        <v>210</v>
      </c>
      <c r="AM59" s="3">
        <f t="shared" si="2"/>
        <v>8.4</v>
      </c>
      <c r="AN59" s="3" t="s">
        <v>707</v>
      </c>
      <c r="AO59" s="3">
        <v>3</v>
      </c>
      <c r="AP59" s="3" t="s">
        <v>271</v>
      </c>
      <c r="AQ59" s="3" t="s">
        <v>1444</v>
      </c>
      <c r="AR59" s="3" t="s">
        <v>269</v>
      </c>
      <c r="AS59" s="3" t="s">
        <v>269</v>
      </c>
      <c r="AT59" s="3" t="s">
        <v>269</v>
      </c>
      <c r="AU59" s="3" t="s">
        <v>269</v>
      </c>
      <c r="AV59" s="3" t="s">
        <v>269</v>
      </c>
      <c r="AW59" t="s">
        <v>273</v>
      </c>
      <c r="AX59" t="s">
        <v>273</v>
      </c>
      <c r="AY59" t="s">
        <v>273</v>
      </c>
      <c r="AZ59" t="s">
        <v>273</v>
      </c>
      <c r="BA59" t="s">
        <v>273</v>
      </c>
      <c r="BB59" t="s">
        <v>273</v>
      </c>
      <c r="BC59" t="s">
        <v>273</v>
      </c>
      <c r="BD59" s="3" t="s">
        <v>270</v>
      </c>
      <c r="BE59" s="3" t="s">
        <v>1464</v>
      </c>
      <c r="BF59" s="3">
        <v>8.0000000000000002E-3</v>
      </c>
      <c r="BG59" s="3">
        <v>0.1</v>
      </c>
      <c r="BH59" s="3" t="s">
        <v>273</v>
      </c>
      <c r="BI59" s="3" t="s">
        <v>273</v>
      </c>
      <c r="BJ59" s="3" t="s">
        <v>273</v>
      </c>
      <c r="BK59" t="s">
        <v>1073</v>
      </c>
      <c r="BL59">
        <v>7</v>
      </c>
      <c r="BM59" s="3">
        <v>20</v>
      </c>
      <c r="BN59" t="s">
        <v>1562</v>
      </c>
      <c r="BO59" s="3" t="s">
        <v>687</v>
      </c>
      <c r="BP59" s="3" t="s">
        <v>1127</v>
      </c>
      <c r="BQ59" t="s">
        <v>910</v>
      </c>
      <c r="BR59" t="s">
        <v>910</v>
      </c>
      <c r="BS59" s="3" t="s">
        <v>1130</v>
      </c>
      <c r="BT59" s="3">
        <v>2</v>
      </c>
      <c r="BU59" s="3" t="s">
        <v>1127</v>
      </c>
      <c r="BV59" s="3" t="s">
        <v>1478</v>
      </c>
      <c r="BW59" t="s">
        <v>273</v>
      </c>
      <c r="BX59" t="s">
        <v>346</v>
      </c>
      <c r="BY59" t="s">
        <v>736</v>
      </c>
      <c r="BZ59" t="s">
        <v>1505</v>
      </c>
      <c r="CA59" t="s">
        <v>1211</v>
      </c>
      <c r="CB59" t="s">
        <v>1211</v>
      </c>
      <c r="CC59" t="s">
        <v>1211</v>
      </c>
      <c r="CD59" t="s">
        <v>1210</v>
      </c>
      <c r="CE59" t="s">
        <v>1219</v>
      </c>
      <c r="CF59" t="s">
        <v>1265</v>
      </c>
      <c r="CG59" t="s">
        <v>1173</v>
      </c>
    </row>
    <row r="60" spans="1:85">
      <c r="A60" s="27" t="s">
        <v>211</v>
      </c>
      <c r="B60" t="s">
        <v>1355</v>
      </c>
      <c r="C60">
        <v>2009</v>
      </c>
      <c r="D60" s="15" t="s">
        <v>213</v>
      </c>
      <c r="E60" t="s">
        <v>214</v>
      </c>
      <c r="F60">
        <v>8</v>
      </c>
      <c r="G60" t="s">
        <v>273</v>
      </c>
      <c r="H60" t="s">
        <v>273</v>
      </c>
      <c r="I60">
        <v>64</v>
      </c>
      <c r="J60">
        <v>8</v>
      </c>
      <c r="K60" t="s">
        <v>273</v>
      </c>
      <c r="L60" t="s">
        <v>273</v>
      </c>
      <c r="M60" t="s">
        <v>273</v>
      </c>
      <c r="N60" t="s">
        <v>273</v>
      </c>
      <c r="O60">
        <v>28</v>
      </c>
      <c r="P60">
        <v>9</v>
      </c>
      <c r="Q60" t="s">
        <v>273</v>
      </c>
      <c r="R60" t="s">
        <v>273</v>
      </c>
      <c r="S60" t="s">
        <v>273</v>
      </c>
      <c r="T60" t="s">
        <v>273</v>
      </c>
      <c r="U60" t="s">
        <v>273</v>
      </c>
      <c r="V60" t="s">
        <v>273</v>
      </c>
      <c r="W60">
        <v>1</v>
      </c>
      <c r="X60">
        <v>3</v>
      </c>
      <c r="Y60" t="s">
        <v>302</v>
      </c>
      <c r="Z60">
        <v>10</v>
      </c>
      <c r="AA60">
        <v>58</v>
      </c>
      <c r="AB60">
        <v>11</v>
      </c>
      <c r="AC60" t="s">
        <v>527</v>
      </c>
      <c r="AD60" t="s">
        <v>1270</v>
      </c>
      <c r="AE60" t="s">
        <v>1283</v>
      </c>
      <c r="AF60" t="s">
        <v>272</v>
      </c>
      <c r="AG60" t="s">
        <v>1429</v>
      </c>
      <c r="AH60" t="s">
        <v>1433</v>
      </c>
      <c r="AI60" t="s">
        <v>1436</v>
      </c>
      <c r="AJ60">
        <v>2000</v>
      </c>
      <c r="AK60">
        <v>37</v>
      </c>
      <c r="AL60">
        <v>150</v>
      </c>
      <c r="AM60">
        <f t="shared" si="2"/>
        <v>5</v>
      </c>
      <c r="AN60" t="s">
        <v>736</v>
      </c>
      <c r="AO60">
        <v>3</v>
      </c>
      <c r="AP60" t="s">
        <v>273</v>
      </c>
      <c r="AQ60" t="s">
        <v>269</v>
      </c>
      <c r="AR60" t="s">
        <v>269</v>
      </c>
      <c r="AS60" t="s">
        <v>269</v>
      </c>
      <c r="AT60" t="s">
        <v>269</v>
      </c>
      <c r="AU60" t="s">
        <v>269</v>
      </c>
      <c r="AV60" t="s">
        <v>269</v>
      </c>
      <c r="AW60" t="s">
        <v>273</v>
      </c>
      <c r="AX60" t="s">
        <v>273</v>
      </c>
      <c r="AY60" t="s">
        <v>273</v>
      </c>
      <c r="AZ60" t="s">
        <v>273</v>
      </c>
      <c r="BA60" t="s">
        <v>273</v>
      </c>
      <c r="BB60" s="6" t="s">
        <v>1672</v>
      </c>
      <c r="BC60" t="s">
        <v>273</v>
      </c>
      <c r="BD60" t="s">
        <v>273</v>
      </c>
      <c r="BE60" t="s">
        <v>1464</v>
      </c>
      <c r="BF60">
        <v>2.5000000000000001E-2</v>
      </c>
      <c r="BG60">
        <v>0.2</v>
      </c>
      <c r="BH60" t="s">
        <v>273</v>
      </c>
      <c r="BI60" t="s">
        <v>273</v>
      </c>
      <c r="BJ60" t="s">
        <v>273</v>
      </c>
      <c r="BK60" t="s">
        <v>1072</v>
      </c>
      <c r="BL60">
        <v>18</v>
      </c>
      <c r="BM60">
        <v>9</v>
      </c>
      <c r="BN60" t="s">
        <v>1563</v>
      </c>
      <c r="BO60" t="s">
        <v>1124</v>
      </c>
      <c r="BP60" t="s">
        <v>1128</v>
      </c>
      <c r="BQ60" t="s">
        <v>910</v>
      </c>
      <c r="BR60" t="s">
        <v>910</v>
      </c>
      <c r="BS60" t="s">
        <v>1128</v>
      </c>
      <c r="BT60" t="s">
        <v>910</v>
      </c>
      <c r="BU60" s="3" t="s">
        <v>910</v>
      </c>
      <c r="BV60" t="s">
        <v>273</v>
      </c>
      <c r="BW60" t="s">
        <v>273</v>
      </c>
      <c r="BX60" t="s">
        <v>736</v>
      </c>
      <c r="BY60" t="s">
        <v>736</v>
      </c>
      <c r="BZ60" t="s">
        <v>1506</v>
      </c>
      <c r="CA60" t="s">
        <v>1536</v>
      </c>
      <c r="CB60" t="s">
        <v>1536</v>
      </c>
      <c r="CC60" t="s">
        <v>1211</v>
      </c>
      <c r="CD60" t="s">
        <v>1211</v>
      </c>
      <c r="CE60" t="s">
        <v>1211</v>
      </c>
      <c r="CF60" t="s">
        <v>1266</v>
      </c>
      <c r="CG60" s="6" t="s">
        <v>1673</v>
      </c>
    </row>
    <row r="61" spans="1:85">
      <c r="A61" s="15" t="s">
        <v>215</v>
      </c>
      <c r="B61" s="15" t="s">
        <v>1356</v>
      </c>
      <c r="C61" s="15">
        <v>2023</v>
      </c>
      <c r="D61" t="s">
        <v>1656</v>
      </c>
      <c r="E61" s="15" t="s">
        <v>218</v>
      </c>
      <c r="F61" s="15">
        <v>45</v>
      </c>
      <c r="G61" s="15" t="s">
        <v>273</v>
      </c>
      <c r="H61" s="15" t="s">
        <v>273</v>
      </c>
      <c r="I61" s="15">
        <v>58.7</v>
      </c>
      <c r="J61" s="15">
        <v>10.3</v>
      </c>
      <c r="K61" s="15">
        <v>18.899999999999999</v>
      </c>
      <c r="L61" s="15">
        <v>9.1999999999999993</v>
      </c>
      <c r="M61" s="15" t="s">
        <v>273</v>
      </c>
      <c r="N61" s="15" t="s">
        <v>273</v>
      </c>
      <c r="O61" s="15">
        <v>25.3</v>
      </c>
      <c r="P61" s="15">
        <v>11.1</v>
      </c>
      <c r="Q61" s="15" t="s">
        <v>273</v>
      </c>
      <c r="R61" s="15" t="s">
        <v>273</v>
      </c>
      <c r="S61" s="15" t="s">
        <v>273</v>
      </c>
      <c r="T61" s="15" t="s">
        <v>273</v>
      </c>
      <c r="U61" s="15" t="s">
        <v>273</v>
      </c>
      <c r="V61" s="15" t="s">
        <v>273</v>
      </c>
      <c r="W61" s="15" t="s">
        <v>273</v>
      </c>
      <c r="X61" s="15" t="s">
        <v>273</v>
      </c>
      <c r="Y61" s="15" t="s">
        <v>290</v>
      </c>
      <c r="Z61" s="16" t="s">
        <v>736</v>
      </c>
      <c r="AA61" s="16" t="s">
        <v>273</v>
      </c>
      <c r="AB61" s="16" t="s">
        <v>273</v>
      </c>
      <c r="AC61" s="15" t="s">
        <v>527</v>
      </c>
      <c r="AD61" s="15" t="s">
        <v>1248</v>
      </c>
      <c r="AE61" s="15" t="s">
        <v>1287</v>
      </c>
      <c r="AF61" s="16" t="s">
        <v>921</v>
      </c>
      <c r="AG61" s="16" t="s">
        <v>242</v>
      </c>
      <c r="AH61" s="15" t="s">
        <v>1432</v>
      </c>
      <c r="AI61" s="15" t="s">
        <v>910</v>
      </c>
      <c r="AJ61" s="15">
        <v>2400</v>
      </c>
      <c r="AK61" s="15">
        <v>25</v>
      </c>
      <c r="AL61" s="15">
        <v>210</v>
      </c>
      <c r="AM61" s="15">
        <f t="shared" si="2"/>
        <v>8.4</v>
      </c>
      <c r="AN61" s="16" t="s">
        <v>736</v>
      </c>
      <c r="AO61" s="15">
        <v>3</v>
      </c>
      <c r="AP61" s="16" t="s">
        <v>428</v>
      </c>
      <c r="AQ61" s="16" t="s">
        <v>1444</v>
      </c>
      <c r="AR61" s="16" t="s">
        <v>269</v>
      </c>
      <c r="AS61" s="16" t="s">
        <v>269</v>
      </c>
      <c r="AT61" s="16" t="s">
        <v>1444</v>
      </c>
      <c r="AU61" s="16" t="s">
        <v>269</v>
      </c>
      <c r="AV61" s="16" t="s">
        <v>269</v>
      </c>
      <c r="AW61" s="16">
        <v>0.2</v>
      </c>
      <c r="AX61" s="16" t="s">
        <v>273</v>
      </c>
      <c r="AY61" s="16" t="s">
        <v>273</v>
      </c>
      <c r="AZ61" s="16" t="s">
        <v>273</v>
      </c>
      <c r="BA61" s="32" t="s">
        <v>1674</v>
      </c>
      <c r="BB61" s="16" t="s">
        <v>273</v>
      </c>
      <c r="BC61" s="16" t="s">
        <v>273</v>
      </c>
      <c r="BD61" s="15" t="s">
        <v>266</v>
      </c>
      <c r="BE61" s="15" t="s">
        <v>1464</v>
      </c>
      <c r="BF61" s="15">
        <v>0.01</v>
      </c>
      <c r="BG61" s="15">
        <v>0.1</v>
      </c>
      <c r="BH61" s="15" t="s">
        <v>273</v>
      </c>
      <c r="BI61" s="15" t="s">
        <v>273</v>
      </c>
      <c r="BJ61" s="15" t="s">
        <v>273</v>
      </c>
      <c r="BK61" s="17" t="s">
        <v>1073</v>
      </c>
      <c r="BL61" s="18">
        <v>8</v>
      </c>
      <c r="BM61" s="15">
        <v>216</v>
      </c>
      <c r="BN61" s="17" t="s">
        <v>1564</v>
      </c>
      <c r="BO61" s="15" t="s">
        <v>1118</v>
      </c>
      <c r="BP61" s="15" t="s">
        <v>243</v>
      </c>
      <c r="BQ61" s="15">
        <v>44</v>
      </c>
      <c r="BR61" s="15">
        <v>2.4</v>
      </c>
      <c r="BS61" s="15" t="s">
        <v>1130</v>
      </c>
      <c r="BT61" s="15">
        <v>2</v>
      </c>
      <c r="BU61" s="15" t="s">
        <v>1140</v>
      </c>
      <c r="BV61" s="3" t="s">
        <v>1468</v>
      </c>
      <c r="BW61" s="16" t="s">
        <v>273</v>
      </c>
      <c r="BX61" t="s">
        <v>346</v>
      </c>
      <c r="BY61" s="16" t="s">
        <v>736</v>
      </c>
      <c r="BZ61" s="16" t="s">
        <v>1489</v>
      </c>
      <c r="CA61" s="16" t="s">
        <v>1211</v>
      </c>
      <c r="CB61" s="16" t="s">
        <v>1198</v>
      </c>
      <c r="CC61" s="16" t="s">
        <v>1220</v>
      </c>
      <c r="CD61" s="16" t="s">
        <v>1211</v>
      </c>
      <c r="CE61" s="16" t="s">
        <v>1211</v>
      </c>
      <c r="CF61" s="16" t="s">
        <v>1520</v>
      </c>
      <c r="CG61" s="16" t="s">
        <v>1174</v>
      </c>
    </row>
  </sheetData>
  <mergeCells count="4">
    <mergeCell ref="A1:E1"/>
    <mergeCell ref="F1:AE1"/>
    <mergeCell ref="AF1:BY1"/>
    <mergeCell ref="BZ1:CG1"/>
  </mergeCells>
  <hyperlinks>
    <hyperlink ref="BY4" r:id="rId1" xr:uid="{990C503D-859A-4527-8BFD-3E08F8C6B4F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0E13-205F-4B34-99F2-DCF8CCB03D85}">
  <dimension ref="A1:C86"/>
  <sheetViews>
    <sheetView topLeftCell="A28" workbookViewId="0">
      <selection activeCell="B86" sqref="B86"/>
    </sheetView>
  </sheetViews>
  <sheetFormatPr defaultRowHeight="14.25"/>
  <cols>
    <col min="1" max="1" width="33.33203125" customWidth="1"/>
    <col min="2" max="2" width="63.86328125" customWidth="1"/>
    <col min="3" max="3" width="90.265625" customWidth="1"/>
  </cols>
  <sheetData>
    <row r="1" spans="1:3">
      <c r="A1" s="24" t="s">
        <v>1566</v>
      </c>
      <c r="B1" s="24" t="s">
        <v>1567</v>
      </c>
      <c r="C1" s="24" t="s">
        <v>1568</v>
      </c>
    </row>
    <row r="2" spans="1:3">
      <c r="A2" s="24" t="s">
        <v>219</v>
      </c>
      <c r="B2" s="25" t="s">
        <v>1292</v>
      </c>
      <c r="C2" s="25" t="s">
        <v>1569</v>
      </c>
    </row>
    <row r="3" spans="1:3">
      <c r="A3" s="25"/>
      <c r="B3" s="25" t="s">
        <v>1293</v>
      </c>
      <c r="C3" s="25" t="s">
        <v>1570</v>
      </c>
    </row>
    <row r="4" spans="1:3">
      <c r="A4" s="25"/>
      <c r="B4" s="25" t="s">
        <v>1294</v>
      </c>
      <c r="C4" s="25" t="s">
        <v>1571</v>
      </c>
    </row>
    <row r="5" spans="1:3">
      <c r="A5" s="25"/>
      <c r="B5" s="25" t="s">
        <v>1295</v>
      </c>
      <c r="C5" s="25" t="s">
        <v>1572</v>
      </c>
    </row>
    <row r="6" spans="1:3">
      <c r="A6" s="25"/>
      <c r="B6" s="25" t="s">
        <v>1296</v>
      </c>
      <c r="C6" s="25" t="s">
        <v>1573</v>
      </c>
    </row>
    <row r="7" spans="1:3">
      <c r="A7" s="24" t="s">
        <v>1654</v>
      </c>
      <c r="B7" s="25" t="s">
        <v>1288</v>
      </c>
      <c r="C7" s="25" t="s">
        <v>1574</v>
      </c>
    </row>
    <row r="8" spans="1:3">
      <c r="A8" s="25"/>
      <c r="B8" s="25" t="s">
        <v>1378</v>
      </c>
      <c r="C8" s="25" t="s">
        <v>1575</v>
      </c>
    </row>
    <row r="9" spans="1:3">
      <c r="A9" s="25"/>
      <c r="B9" s="25" t="s">
        <v>1379</v>
      </c>
      <c r="C9" s="25" t="s">
        <v>1576</v>
      </c>
    </row>
    <row r="10" spans="1:3">
      <c r="A10" s="25"/>
      <c r="B10" s="25" t="s">
        <v>1380</v>
      </c>
      <c r="C10" s="25" t="s">
        <v>1577</v>
      </c>
    </row>
    <row r="11" spans="1:3">
      <c r="A11" s="25"/>
      <c r="B11" s="25" t="s">
        <v>1381</v>
      </c>
      <c r="C11" s="25" t="s">
        <v>1578</v>
      </c>
    </row>
    <row r="12" spans="1:3">
      <c r="A12" s="25"/>
      <c r="B12" s="25" t="s">
        <v>1388</v>
      </c>
      <c r="C12" s="25" t="s">
        <v>1579</v>
      </c>
    </row>
    <row r="13" spans="1:3">
      <c r="A13" s="25"/>
      <c r="B13" s="25" t="s">
        <v>1389</v>
      </c>
      <c r="C13" s="25" t="s">
        <v>1580</v>
      </c>
    </row>
    <row r="14" spans="1:3">
      <c r="A14" s="25"/>
      <c r="B14" s="25" t="s">
        <v>1390</v>
      </c>
      <c r="C14" s="25" t="s">
        <v>1581</v>
      </c>
    </row>
    <row r="15" spans="1:3">
      <c r="A15" s="25"/>
      <c r="B15" s="25" t="s">
        <v>1391</v>
      </c>
      <c r="C15" s="25" t="s">
        <v>1582</v>
      </c>
    </row>
    <row r="16" spans="1:3">
      <c r="A16" s="25"/>
      <c r="B16" s="25" t="s">
        <v>1392</v>
      </c>
      <c r="C16" s="25" t="s">
        <v>1583</v>
      </c>
    </row>
    <row r="17" spans="1:3">
      <c r="A17" s="25"/>
      <c r="B17" s="25" t="s">
        <v>1393</v>
      </c>
      <c r="C17" s="25" t="s">
        <v>1584</v>
      </c>
    </row>
    <row r="18" spans="1:3">
      <c r="A18" s="25"/>
      <c r="B18" s="25" t="s">
        <v>1394</v>
      </c>
      <c r="C18" s="25" t="s">
        <v>1585</v>
      </c>
    </row>
    <row r="19" spans="1:3">
      <c r="A19" s="25"/>
      <c r="B19" s="25" t="s">
        <v>1395</v>
      </c>
      <c r="C19" s="25" t="s">
        <v>1586</v>
      </c>
    </row>
    <row r="20" spans="1:3">
      <c r="A20" s="25"/>
      <c r="B20" s="25" t="s">
        <v>1396</v>
      </c>
      <c r="C20" s="25" t="s">
        <v>1587</v>
      </c>
    </row>
    <row r="21" spans="1:3">
      <c r="A21" s="25"/>
      <c r="B21" s="25" t="s">
        <v>1397</v>
      </c>
      <c r="C21" s="25" t="s">
        <v>1588</v>
      </c>
    </row>
    <row r="22" spans="1:3">
      <c r="A22" s="25"/>
      <c r="B22" s="25" t="s">
        <v>1398</v>
      </c>
      <c r="C22" s="25" t="s">
        <v>1589</v>
      </c>
    </row>
    <row r="23" spans="1:3">
      <c r="A23" s="25"/>
      <c r="B23" s="25" t="s">
        <v>1399</v>
      </c>
      <c r="C23" s="25" t="s">
        <v>1590</v>
      </c>
    </row>
    <row r="24" spans="1:3">
      <c r="A24" s="25"/>
      <c r="B24" s="25" t="s">
        <v>1400</v>
      </c>
      <c r="C24" s="25" t="s">
        <v>1591</v>
      </c>
    </row>
    <row r="25" spans="1:3">
      <c r="A25" s="25"/>
      <c r="B25" s="25" t="s">
        <v>1401</v>
      </c>
      <c r="C25" s="25" t="s">
        <v>1592</v>
      </c>
    </row>
    <row r="26" spans="1:3">
      <c r="A26" s="25"/>
      <c r="B26" s="25" t="s">
        <v>1289</v>
      </c>
      <c r="C26" s="25" t="s">
        <v>1593</v>
      </c>
    </row>
    <row r="27" spans="1:3">
      <c r="A27" s="25"/>
      <c r="B27" s="25" t="s">
        <v>1290</v>
      </c>
      <c r="C27" s="25" t="s">
        <v>1594</v>
      </c>
    </row>
    <row r="28" spans="1:3">
      <c r="A28" s="25"/>
      <c r="B28" s="25" t="s">
        <v>1406</v>
      </c>
      <c r="C28" s="25" t="s">
        <v>1595</v>
      </c>
    </row>
    <row r="29" spans="1:3">
      <c r="A29" s="25"/>
      <c r="B29" s="25" t="s">
        <v>1407</v>
      </c>
      <c r="C29" s="25" t="s">
        <v>1596</v>
      </c>
    </row>
    <row r="30" spans="1:3">
      <c r="A30" s="25"/>
      <c r="B30" s="25" t="s">
        <v>1267</v>
      </c>
      <c r="C30" s="25" t="s">
        <v>1597</v>
      </c>
    </row>
    <row r="31" spans="1:3">
      <c r="A31" s="25"/>
      <c r="B31" s="25" t="s">
        <v>1268</v>
      </c>
      <c r="C31" s="25" t="s">
        <v>1598</v>
      </c>
    </row>
    <row r="32" spans="1:3">
      <c r="A32" s="25"/>
      <c r="B32" s="25" t="s">
        <v>1269</v>
      </c>
      <c r="C32" s="25" t="s">
        <v>1599</v>
      </c>
    </row>
    <row r="33" spans="1:3">
      <c r="A33" s="25"/>
      <c r="B33" s="25" t="s">
        <v>1291</v>
      </c>
      <c r="C33" s="25" t="s">
        <v>1600</v>
      </c>
    </row>
    <row r="34" spans="1:3">
      <c r="A34" s="25"/>
      <c r="B34" s="25" t="s">
        <v>1408</v>
      </c>
      <c r="C34" s="25" t="s">
        <v>1601</v>
      </c>
    </row>
    <row r="35" spans="1:3">
      <c r="A35" s="24" t="s">
        <v>37</v>
      </c>
      <c r="B35" s="25" t="s">
        <v>1430</v>
      </c>
      <c r="C35" s="25" t="s">
        <v>1602</v>
      </c>
    </row>
    <row r="36" spans="1:3">
      <c r="A36" s="25"/>
      <c r="B36" s="25" t="s">
        <v>1431</v>
      </c>
      <c r="C36" s="25" t="s">
        <v>1603</v>
      </c>
    </row>
    <row r="37" spans="1:3">
      <c r="A37" s="25"/>
      <c r="B37" s="25" t="s">
        <v>1297</v>
      </c>
      <c r="C37" s="25" t="s">
        <v>1604</v>
      </c>
    </row>
    <row r="38" spans="1:3">
      <c r="A38" s="25"/>
      <c r="B38" s="25" t="s">
        <v>1298</v>
      </c>
      <c r="C38" s="25" t="s">
        <v>1605</v>
      </c>
    </row>
    <row r="39" spans="1:3">
      <c r="A39" s="25"/>
      <c r="B39" s="25" t="s">
        <v>1299</v>
      </c>
      <c r="C39" s="25" t="s">
        <v>1606</v>
      </c>
    </row>
    <row r="40" spans="1:3">
      <c r="A40" s="25"/>
      <c r="B40" s="25" t="s">
        <v>1300</v>
      </c>
      <c r="C40" s="25" t="s">
        <v>1607</v>
      </c>
    </row>
    <row r="41" spans="1:3">
      <c r="A41" s="25"/>
      <c r="B41" s="25" t="s">
        <v>1301</v>
      </c>
      <c r="C41" s="25" t="s">
        <v>1608</v>
      </c>
    </row>
    <row r="42" spans="1:3">
      <c r="A42" s="25"/>
      <c r="B42" s="25" t="s">
        <v>1302</v>
      </c>
      <c r="C42" s="25" t="s">
        <v>1609</v>
      </c>
    </row>
    <row r="43" spans="1:3">
      <c r="A43" s="25"/>
      <c r="B43" s="25" t="s">
        <v>1437</v>
      </c>
      <c r="C43" s="25" t="s">
        <v>1610</v>
      </c>
    </row>
    <row r="44" spans="1:3">
      <c r="A44" s="25"/>
      <c r="B44" s="25" t="s">
        <v>1438</v>
      </c>
      <c r="C44" s="25" t="s">
        <v>1611</v>
      </c>
    </row>
    <row r="45" spans="1:3">
      <c r="A45" s="25"/>
      <c r="B45" s="25" t="s">
        <v>1439</v>
      </c>
      <c r="C45" s="25" t="s">
        <v>1612</v>
      </c>
    </row>
    <row r="46" spans="1:3">
      <c r="A46" s="25"/>
      <c r="B46" s="25" t="s">
        <v>1440</v>
      </c>
      <c r="C46" s="25" t="s">
        <v>1613</v>
      </c>
    </row>
    <row r="47" spans="1:3">
      <c r="A47" s="25"/>
      <c r="B47" s="25" t="s">
        <v>1441</v>
      </c>
      <c r="C47" s="25" t="s">
        <v>1614</v>
      </c>
    </row>
    <row r="48" spans="1:3">
      <c r="A48" s="25"/>
      <c r="B48" s="25" t="s">
        <v>1442</v>
      </c>
      <c r="C48" s="25" t="s">
        <v>1615</v>
      </c>
    </row>
    <row r="49" spans="1:3">
      <c r="A49" s="25"/>
      <c r="B49" s="25" t="s">
        <v>1443</v>
      </c>
      <c r="C49" s="25" t="s">
        <v>1616</v>
      </c>
    </row>
    <row r="50" spans="1:3">
      <c r="A50" s="25"/>
      <c r="B50" s="25" t="s">
        <v>1446</v>
      </c>
      <c r="C50" s="25" t="s">
        <v>1617</v>
      </c>
    </row>
    <row r="51" spans="1:3">
      <c r="A51" s="25"/>
      <c r="B51" s="25" t="s">
        <v>1447</v>
      </c>
      <c r="C51" s="25" t="s">
        <v>1618</v>
      </c>
    </row>
    <row r="52" spans="1:3">
      <c r="A52" s="25"/>
      <c r="B52" s="25" t="s">
        <v>1448</v>
      </c>
      <c r="C52" s="25" t="s">
        <v>1619</v>
      </c>
    </row>
    <row r="53" spans="1:3">
      <c r="A53" s="25"/>
      <c r="B53" s="25" t="s">
        <v>1449</v>
      </c>
      <c r="C53" s="25" t="s">
        <v>1620</v>
      </c>
    </row>
    <row r="54" spans="1:3">
      <c r="A54" s="25"/>
      <c r="B54" s="25" t="s">
        <v>1450</v>
      </c>
      <c r="C54" s="25" t="s">
        <v>1621</v>
      </c>
    </row>
    <row r="55" spans="1:3">
      <c r="A55" s="25"/>
      <c r="B55" s="25" t="s">
        <v>1451</v>
      </c>
      <c r="C55" s="25" t="s">
        <v>1622</v>
      </c>
    </row>
    <row r="56" spans="1:3">
      <c r="A56" s="25"/>
      <c r="B56" s="25" t="s">
        <v>260</v>
      </c>
      <c r="C56" s="25" t="s">
        <v>1623</v>
      </c>
    </row>
    <row r="57" spans="1:3">
      <c r="A57" s="25"/>
      <c r="B57" s="25" t="s">
        <v>1303</v>
      </c>
      <c r="C57" s="25" t="s">
        <v>1624</v>
      </c>
    </row>
    <row r="58" spans="1:3">
      <c r="A58" s="25"/>
      <c r="B58" s="25" t="s">
        <v>1458</v>
      </c>
      <c r="C58" s="25" t="s">
        <v>1625</v>
      </c>
    </row>
    <row r="59" spans="1:3">
      <c r="A59" s="25"/>
      <c r="B59" s="25" t="s">
        <v>1459</v>
      </c>
      <c r="C59" s="25" t="s">
        <v>1626</v>
      </c>
    </row>
    <row r="60" spans="1:3">
      <c r="A60" s="25"/>
      <c r="B60" s="25" t="s">
        <v>1460</v>
      </c>
      <c r="C60" s="25" t="s">
        <v>1627</v>
      </c>
    </row>
    <row r="61" spans="1:3">
      <c r="A61" s="25"/>
      <c r="B61" s="25" t="s">
        <v>1461</v>
      </c>
      <c r="C61" s="25" t="s">
        <v>1628</v>
      </c>
    </row>
    <row r="62" spans="1:3">
      <c r="A62" s="25"/>
      <c r="B62" s="25" t="s">
        <v>1462</v>
      </c>
      <c r="C62" s="25" t="s">
        <v>1629</v>
      </c>
    </row>
    <row r="63" spans="1:3">
      <c r="A63" s="25"/>
      <c r="B63" s="25" t="s">
        <v>1463</v>
      </c>
      <c r="C63" s="25" t="s">
        <v>1630</v>
      </c>
    </row>
    <row r="64" spans="1:3">
      <c r="A64" s="25"/>
      <c r="B64" s="25" t="s">
        <v>1304</v>
      </c>
      <c r="C64" s="25" t="s">
        <v>1631</v>
      </c>
    </row>
    <row r="65" spans="1:3">
      <c r="A65" s="25"/>
      <c r="B65" s="25" t="s">
        <v>1305</v>
      </c>
      <c r="C65" s="25" t="s">
        <v>1632</v>
      </c>
    </row>
    <row r="66" spans="1:3">
      <c r="A66" s="25"/>
      <c r="B66" s="25" t="s">
        <v>1306</v>
      </c>
      <c r="C66" s="25" t="s">
        <v>1633</v>
      </c>
    </row>
    <row r="67" spans="1:3">
      <c r="A67" s="25"/>
      <c r="B67" s="25" t="s">
        <v>1565</v>
      </c>
      <c r="C67" s="25" t="s">
        <v>1634</v>
      </c>
    </row>
    <row r="68" spans="1:3">
      <c r="A68" s="25"/>
      <c r="B68" s="25" t="s">
        <v>1307</v>
      </c>
      <c r="C68" s="25" t="s">
        <v>1635</v>
      </c>
    </row>
    <row r="69" spans="1:3">
      <c r="A69" s="25"/>
      <c r="B69" s="25" t="s">
        <v>1308</v>
      </c>
      <c r="C69" s="25" t="s">
        <v>1636</v>
      </c>
    </row>
    <row r="70" spans="1:3">
      <c r="A70" s="25"/>
      <c r="B70" s="25" t="s">
        <v>1309</v>
      </c>
      <c r="C70" s="25" t="s">
        <v>1637</v>
      </c>
    </row>
    <row r="71" spans="1:3">
      <c r="A71" s="25"/>
      <c r="B71" s="25" t="s">
        <v>1310</v>
      </c>
      <c r="C71" s="25" t="s">
        <v>1638</v>
      </c>
    </row>
    <row r="72" spans="1:3">
      <c r="A72" s="25"/>
      <c r="B72" s="25" t="s">
        <v>1311</v>
      </c>
      <c r="C72" s="25" t="s">
        <v>1639</v>
      </c>
    </row>
    <row r="73" spans="1:3">
      <c r="A73" s="25"/>
      <c r="B73" s="25" t="s">
        <v>1312</v>
      </c>
      <c r="C73" s="25" t="s">
        <v>1640</v>
      </c>
    </row>
    <row r="74" spans="1:3">
      <c r="A74" s="25"/>
      <c r="B74" s="25" t="s">
        <v>1313</v>
      </c>
      <c r="C74" s="25" t="s">
        <v>1641</v>
      </c>
    </row>
    <row r="75" spans="1:3">
      <c r="A75" s="25"/>
      <c r="B75" s="25" t="s">
        <v>1314</v>
      </c>
      <c r="C75" s="25" t="s">
        <v>1642</v>
      </c>
    </row>
    <row r="76" spans="1:3">
      <c r="A76" s="25"/>
      <c r="B76" s="25" t="s">
        <v>1315</v>
      </c>
      <c r="C76" s="25" t="s">
        <v>1643</v>
      </c>
    </row>
    <row r="77" spans="1:3">
      <c r="A77" s="24" t="s">
        <v>1144</v>
      </c>
      <c r="B77" s="25" t="s">
        <v>1316</v>
      </c>
      <c r="C77" s="25" t="s">
        <v>1644</v>
      </c>
    </row>
    <row r="78" spans="1:3">
      <c r="A78" s="25"/>
      <c r="B78" s="25" t="s">
        <v>1317</v>
      </c>
      <c r="C78" s="25" t="s">
        <v>1645</v>
      </c>
    </row>
    <row r="79" spans="1:3">
      <c r="A79" s="25"/>
      <c r="B79" s="25" t="s">
        <v>1479</v>
      </c>
      <c r="C79" s="25" t="s">
        <v>1646</v>
      </c>
    </row>
    <row r="80" spans="1:3">
      <c r="A80" s="25"/>
      <c r="B80" s="25" t="s">
        <v>1213</v>
      </c>
      <c r="C80" s="25" t="s">
        <v>1647</v>
      </c>
    </row>
    <row r="81" spans="1:3">
      <c r="A81" s="25"/>
      <c r="B81" s="25" t="s">
        <v>1214</v>
      </c>
      <c r="C81" s="25" t="s">
        <v>1648</v>
      </c>
    </row>
    <row r="82" spans="1:3">
      <c r="A82" s="25"/>
      <c r="B82" s="25" t="s">
        <v>1215</v>
      </c>
      <c r="C82" s="25" t="s">
        <v>1649</v>
      </c>
    </row>
    <row r="83" spans="1:3">
      <c r="A83" s="25"/>
      <c r="B83" s="25" t="s">
        <v>1199</v>
      </c>
      <c r="C83" s="25" t="s">
        <v>1650</v>
      </c>
    </row>
    <row r="84" spans="1:3">
      <c r="A84" s="25"/>
      <c r="B84" s="25" t="s">
        <v>1216</v>
      </c>
      <c r="C84" s="25" t="s">
        <v>1651</v>
      </c>
    </row>
    <row r="85" spans="1:3">
      <c r="A85" s="25"/>
      <c r="B85" s="25" t="s">
        <v>1507</v>
      </c>
      <c r="C85" s="25" t="s">
        <v>1652</v>
      </c>
    </row>
    <row r="86" spans="1:3">
      <c r="A86" s="25"/>
      <c r="B86" s="25" t="s">
        <v>1145</v>
      </c>
      <c r="C86" s="25" t="s">
        <v>1653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Query_strings</vt:lpstr>
      <vt:lpstr>Screening</vt:lpstr>
      <vt:lpstr>Extracted_data</vt:lpstr>
      <vt:lpstr>Refined_data_DK</vt:lpstr>
      <vt:lpstr>Refined_data_DC</vt:lpstr>
      <vt:lpstr>Coded_information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Kristanto</dc:creator>
  <cp:lastModifiedBy>Daniel Kristanto</cp:lastModifiedBy>
  <dcterms:created xsi:type="dcterms:W3CDTF">2025-08-06T10:33:19Z</dcterms:created>
  <dcterms:modified xsi:type="dcterms:W3CDTF">2025-11-24T10:00:05Z</dcterms:modified>
</cp:coreProperties>
</file>